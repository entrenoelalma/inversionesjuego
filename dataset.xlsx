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Maestro" sheetId="1" r:id="rId4"/>
    <sheet state="visible" name="Data_Flat" sheetId="2" r:id="rId5"/>
    <sheet state="visible" name="Diccionario_Variables" sheetId="3" r:id="rId6"/>
  </sheets>
  <definedNames/>
  <calcPr/>
  <extLst>
    <ext uri="GoogleSheetsCustomDataVersion2">
      <go:sheetsCustomData xmlns:go="http://customooxmlschemas.google.com/" r:id="rId7" roundtripDataChecksum="e4BcReynoTkh72Wg3lHwvyC+rztssL1RGdYfVWZbHYE="/>
    </ext>
  </extLst>
</workbook>
</file>

<file path=xl/sharedStrings.xml><?xml version="1.0" encoding="utf-8"?>
<sst xmlns="http://schemas.openxmlformats.org/spreadsheetml/2006/main" count="454" uniqueCount="278">
  <si>
    <t>Año</t>
  </si>
  <si>
    <t>🌍 COMMODITIES GLOBALES (USD)</t>
  </si>
  <si>
    <t>🌾 ARGENTINA — TIERRA RURAL</t>
  </si>
  <si>
    <t>🏙️ ARGENTINA — INMUEBLE URBANO (CABA)</t>
  </si>
  <si>
    <t>🌱 ARGENTINA — GRANOS (USD/qq)</t>
  </si>
  <si>
    <t>🐄 ARGENTINA — GANADERÍA</t>
  </si>
  <si>
    <t>📊 ARGENTINA — RATIOS COMPARATIVOS</t>
  </si>
  <si>
    <t>🌽 USA — TIERRAS AGRÍCOLAS (USD/acre)</t>
  </si>
  <si>
    <t>🌽 USA — TIERRAS AGRÍCOLAS (USD/ha)</t>
  </si>
  <si>
    <t>🗽 NYC — INMOBILIARIO</t>
  </si>
  <si>
    <t>🌾 USA — GRANOS</t>
  </si>
  <si>
    <t>🐄 USA — GANADERÍA</t>
  </si>
  <si>
    <t>📝 NOTAS</t>
  </si>
  <si>
    <t>Oro (USD/oz)</t>
  </si>
  <si>
    <t>Petróleo WTI (USD/barril)</t>
  </si>
  <si>
    <t>Valor Ha (USD/ha)</t>
  </si>
  <si>
    <t>Alq. campo (qq soja/ha)</t>
  </si>
  <si>
    <t>Venta m² BN (USD/m²)</t>
  </si>
  <si>
    <t>Alq. 3 amb (USD/mes)</t>
  </si>
  <si>
    <t>Soja (USD/qq)</t>
  </si>
  <si>
    <t>Maíz (USD/qq)</t>
  </si>
  <si>
    <t>Trigo (USD/qq)</t>
  </si>
  <si>
    <t>Novillo (USD/kg vivo)</t>
  </si>
  <si>
    <t>Ha / m² dpto BN</t>
  </si>
  <si>
    <t>Ha / meses alquiler</t>
  </si>
  <si>
    <t>Ha / qq soja</t>
  </si>
  <si>
    <t>Ha / qq maíz</t>
  </si>
  <si>
    <t>Ha / qq trigo</t>
  </si>
  <si>
    <t>Ha / kg novillo</t>
  </si>
  <si>
    <t>Iowa (USD/acre)</t>
  </si>
  <si>
    <t>Nebraska (USD/acre)</t>
  </si>
  <si>
    <t>Promedio IA+NE (USD/acre)</t>
  </si>
  <si>
    <t>Iowa (USD/ha)</t>
  </si>
  <si>
    <t>Nebraska (USD/ha)</t>
  </si>
  <si>
    <t>Promedio IA+NE (USD/ha)</t>
  </si>
  <si>
    <t>Venta m² Manhattan (USD)</t>
  </si>
  <si>
    <t>Venta ft² Manhattan (USD)</t>
  </si>
  <si>
    <t>Alq. 3 amb. Manhattan (USD/mes)</t>
  </si>
  <si>
    <t>Soja (USD/bushel)</t>
  </si>
  <si>
    <t>Maíz (USD/bushel)</t>
  </si>
  <si>
    <t>Trigo (USD/bushel)</t>
  </si>
  <si>
    <t>Soja (USD/ton)</t>
  </si>
  <si>
    <t>Maíz (USD/ton)</t>
  </si>
  <si>
    <t>Novillo (USD/cwt)</t>
  </si>
  <si>
    <t>Novillo (USD/kg)</t>
  </si>
  <si>
    <t>Nota Economía</t>
  </si>
  <si>
    <t>Nota Agro</t>
  </si>
  <si>
    <t>Tipo de Cambio Ref.</t>
  </si>
  <si>
    <t>Rodrigazo 1975. Inicio dolarización inmuebles</t>
  </si>
  <si>
    <t>Boom agrícola incipiente</t>
  </si>
  <si>
    <t>Peso ley = 1 USD aprox</t>
  </si>
  <si>
    <t>Golpe militar. Plan Martínez de Hoz. 'Tablita'</t>
  </si>
  <si>
    <t>Retenciones variables</t>
  </si>
  <si>
    <t>Atraso cambiario</t>
  </si>
  <si>
    <t>Mundial Argentina '78. Optimismo económico</t>
  </si>
  <si>
    <t>Buena cosecha fina</t>
  </si>
  <si>
    <t>Tipo cambio fijo</t>
  </si>
  <si>
    <t>Tablita en crisis. Quiebras bancarias 1980-81</t>
  </si>
  <si>
    <t>Máximo histórico tierra pre-crisis</t>
  </si>
  <si>
    <t>ARS/USD tablita</t>
  </si>
  <si>
    <t>Guerra Malvinas. Devaluación brutal. Dólar +400%</t>
  </si>
  <si>
    <t>Caída precio tierra -40%</t>
  </si>
  <si>
    <t>Devaluación súbita</t>
  </si>
  <si>
    <t>Plan Austral. 1 Austral = 1 USD. Estabilización</t>
  </si>
  <si>
    <t>Siembra soja en expansión</t>
  </si>
  <si>
    <t>1 Austral = 1 USD</t>
  </si>
  <si>
    <t>Crisis Austral. Inflación alta</t>
  </si>
  <si>
    <t>Sequía parcial</t>
  </si>
  <si>
    <t>Austral devaluado</t>
  </si>
  <si>
    <t>Hiperinflación Alfonsín/Menem. Caos monetario</t>
  </si>
  <si>
    <t>Tierra en mínimos históricos USD</t>
  </si>
  <si>
    <t>Caos cambiario</t>
  </si>
  <si>
    <t>Plan de Convertibilidad: 1 peso = 1 USD. Boom</t>
  </si>
  <si>
    <t>Expansión soja. Siembra directa</t>
  </si>
  <si>
    <t>1 ARS = 1 USD</t>
  </si>
  <si>
    <t>Boom convertibilidad. Crédito barato</t>
  </si>
  <si>
    <t>Récord cosecha soja 11 M ton</t>
  </si>
  <si>
    <t>1=1</t>
  </si>
  <si>
    <t>Efecto Tequila. Recesión transitoria</t>
  </si>
  <si>
    <t>Soja 12,4 M ton. Siembra directa masiva</t>
  </si>
  <si>
    <t>Boom convertibilidad. Privatizaciones. RIGI boom</t>
  </si>
  <si>
    <t>Soja &gt; 19 M ton. Fenómeno Pampa</t>
  </si>
  <si>
    <t>Crisis Rusia/Brasil. Recesión leve en Arg.</t>
  </si>
  <si>
    <t>Soja 20 M ton. Boom siembra</t>
  </si>
  <si>
    <t>Recesión. Deflación. Crisis política. Caída demanda</t>
  </si>
  <si>
    <t>Soja 27 M ton. Pero precios bajos</t>
  </si>
  <si>
    <t>1=1 (agonizando)</t>
  </si>
  <si>
    <t>Corralito. Default. Crisis social. 5 presidentes</t>
  </si>
  <si>
    <t>Campos paralizados. Caída -30% valor</t>
  </si>
  <si>
    <t>Colapso convertibilidad</t>
  </si>
  <si>
    <t>Devaluación enero 2002. 1 USD = 3 pesos. Pesificación</t>
  </si>
  <si>
    <t>Tierra cae -40% en USD. Mínimo 2001-02</t>
  </si>
  <si>
    <t>1 USD = ~3 ARS</t>
  </si>
  <si>
    <t>Kirchner. Recuperación. Retenciones 20%</t>
  </si>
  <si>
    <t>Soja 34 M ton. Precios internac. suben</t>
  </si>
  <si>
    <t>Boom soja. Precios int. en alza. Superávit fiscal</t>
  </si>
  <si>
    <t>Soja 38 M ton. 25% retención</t>
  </si>
  <si>
    <t>Boom materias primas. Intervención INDEC</t>
  </si>
  <si>
    <t>Soja 47 M ton. Precios máximos 2007-08</t>
  </si>
  <si>
    <t>1 USD = ~3,1 ARS</t>
  </si>
  <si>
    <t>Pico boom commodities (jul 2008). Crisis campo</t>
  </si>
  <si>
    <t>Sequía. Conflicto campo-gobierno. R. 125</t>
  </si>
  <si>
    <t>1 USD = ~3,2 ARS</t>
  </si>
  <si>
    <t>Posciclo boom. Sequía severa 2008-09. Recession USA</t>
  </si>
  <si>
    <t>Sequía: soja 31 M ton (-34%)</t>
  </si>
  <si>
    <t>1 USD = ~3,8 ARS</t>
  </si>
  <si>
    <t>Recuperación. Boom soja. Cepo incipiente</t>
  </si>
  <si>
    <t>Soja 52 M ton. Precio récord novillo 2010</t>
  </si>
  <si>
    <t>1 USD = ~3,97 ARS</t>
  </si>
  <si>
    <t>Cepo cambiario octubre 2011. Retenciones 35%</t>
  </si>
  <si>
    <t>Soja 49 M ton. Máximo valor tierra USD</t>
  </si>
  <si>
    <t>Cepo. 1 USD = ~4,3 ARS</t>
  </si>
  <si>
    <t>Cepo. Dólar blue emerge. Inflación 25%</t>
  </si>
  <si>
    <t>Sequía 2012: soja 40 M ton</t>
  </si>
  <si>
    <t>Oficial ~4,9 / Blue ~6,5</t>
  </si>
  <si>
    <t>Cepo reforzado. Devaluación parcial</t>
  </si>
  <si>
    <t>Soja 49 M ton. Retenciones 35%</t>
  </si>
  <si>
    <t>Oficial ~5,5 / Blue ~10</t>
  </si>
  <si>
    <t>Devaluación enero 2014 (23%). 2do default</t>
  </si>
  <si>
    <t>Caída precio soja internacional</t>
  </si>
  <si>
    <t>Oficial ~8,5 / Blue ~13</t>
  </si>
  <si>
    <t>Año electoral. Cepo. Macri gana en diciembre</t>
  </si>
  <si>
    <t>Soja 61 M ton (récord). Precios bajos</t>
  </si>
  <si>
    <t>Oficial ~9,8 / Blue ~15</t>
  </si>
  <si>
    <t>Macri. Levanta cepo. Devaluación 50%. Retenciones 0%</t>
  </si>
  <si>
    <t>Sin retenciones soja desde marzo</t>
  </si>
  <si>
    <t>1 USD = ~15 ARS</t>
  </si>
  <si>
    <t>Boom inmobiliario. Créditos UVA. Récord escrituras</t>
  </si>
  <si>
    <t>Soja 58 M ton. Precios bajos pero sin retenc.</t>
  </si>
  <si>
    <t>1 USD = ~17 ARS</t>
  </si>
  <si>
    <t>Crisis cambiaria. USD de $20 a $40. FMI</t>
  </si>
  <si>
    <t>Sequía histórica 2018: soja 37 M ton (-35%)</t>
  </si>
  <si>
    <t>1 USD = $20→$40 ARS</t>
  </si>
  <si>
    <t>PASO agosto. USD +30% un día. Elecciones Fernández</t>
  </si>
  <si>
    <t>Soja 55 M ton. Reposición retenciones</t>
  </si>
  <si>
    <t>1 USD = ~60 ARS</t>
  </si>
  <si>
    <t>COVID-19. ASPO. Cepo reforzado. Brecha 100%</t>
  </si>
  <si>
    <t>Pandemia no detiene cosecha. Boom soja 2do sem.</t>
  </si>
  <si>
    <t>Oficial ~84 / Blue ~165</t>
  </si>
  <si>
    <t>Inflación 50%+. Soja récord USD. Brecha 100%</t>
  </si>
  <si>
    <t>Soja 46 M ton. Maíz histórico $320/ton</t>
  </si>
  <si>
    <t>Oficial ~103 / Blue ~210</t>
  </si>
  <si>
    <t>Guerra Ucrania. Soja pico $640/ton. Sergio Massa</t>
  </si>
  <si>
    <t>Soja 44 M ton. Sequía final campaña</t>
  </si>
  <si>
    <t>Oficial ~175 / Blue ~330</t>
  </si>
  <si>
    <t>Sequía histórica: -40% cosecha. Milei gana</t>
  </si>
  <si>
    <t>Soja 21 M ton (mínimo 20 años). Niña 3 años</t>
  </si>
  <si>
    <t>Oficial ~365 / Blue ~900</t>
  </si>
  <si>
    <t>Milei. Devaluación dic2023 100%. Saneamiento fiscal</t>
  </si>
  <si>
    <t>Cosecha récord rebote: soja 50 M ton</t>
  </si>
  <si>
    <t>1 USD = ~1000 ARS</t>
  </si>
  <si>
    <t>Boom campo: tierra en máximos 14 años. Cepo quitado</t>
  </si>
  <si>
    <t>Soja 49 M ton. Maíz 52 M ton</t>
  </si>
  <si>
    <t>1 USD = ~1200 ARS</t>
  </si>
  <si>
    <t>DATASET MAESTRO UNIFICADO — VERSIÓN PLANA (para Streamlit/Analytics)</t>
  </si>
  <si>
    <t>Oro_USD_oz</t>
  </si>
  <si>
    <t>Petroleo_WTI_USD_barril</t>
  </si>
  <si>
    <t>CSV_Soja_USD_ton</t>
  </si>
  <si>
    <t>CSV_Maiz_USD_ton</t>
  </si>
  <si>
    <t>CSV_Trigo_USD_ton</t>
  </si>
  <si>
    <t>CSV_Novillo_USD_kg</t>
  </si>
  <si>
    <t>CSV_m2_NYC_USD</t>
  </si>
  <si>
    <t>CSV_Alq_3amb_NYC_USD</t>
  </si>
  <si>
    <t>ARG_Tierra_Ha_USD</t>
  </si>
  <si>
    <t>ARG_Tierra_Alq_qq_soja_ha</t>
  </si>
  <si>
    <t>ARG_Inmueble_Venta_m2_USD</t>
  </si>
  <si>
    <t>ARG_Inmueble_Alq_3amb_USD</t>
  </si>
  <si>
    <t>ARG_Soja_USD_qq</t>
  </si>
  <si>
    <t>ARG_Maiz_USD_qq</t>
  </si>
  <si>
    <t>ARG_Trigo_USD_qq</t>
  </si>
  <si>
    <t>ARG_Novillo_USD_kg_vivo</t>
  </si>
  <si>
    <t>ARG_Nota_Economia</t>
  </si>
  <si>
    <t>ARG_Nota_Agro</t>
  </si>
  <si>
    <t>ARG_Tipo_Cambio_Ref</t>
  </si>
  <si>
    <t>ARG_Ratio_Ha_m2_BN</t>
  </si>
  <si>
    <t>ARG_Ratio_Ha_meses_alq</t>
  </si>
  <si>
    <t>ARG_Ratio_Ha_qq_soja</t>
  </si>
  <si>
    <t>ARG_Ratio_Ha_qq_maiz</t>
  </si>
  <si>
    <t>ARG_Ratio_Ha_qq_trigo</t>
  </si>
  <si>
    <t>ARG_Ratio_Ha_kg_novillo</t>
  </si>
  <si>
    <t>ARG_Ratio_Alq_campo_vs_urbano</t>
  </si>
  <si>
    <t>USA_Iowa_USD_acre</t>
  </si>
  <si>
    <t>USA_Nebraska_USD_acre</t>
  </si>
  <si>
    <t>USA_Prom_IA_NE_USD_acre</t>
  </si>
  <si>
    <t>NYC_Venta_m2_USD</t>
  </si>
  <si>
    <t>NYC_Venta_ft2_USD</t>
  </si>
  <si>
    <t>NYC_Alq_3amb_USD</t>
  </si>
  <si>
    <t>USA_Soja_USD_bushel</t>
  </si>
  <si>
    <t>USA_Maiz_USD_bushel</t>
  </si>
  <si>
    <t>USA_Trigo_USD_bushel</t>
  </si>
  <si>
    <t>USA_Novillo_USD_cwt</t>
  </si>
  <si>
    <t>USA_Novillo_USD_kg</t>
  </si>
  <si>
    <t>USA_Soja_USD_ton</t>
  </si>
  <si>
    <t>USA_Maiz_USD_ton</t>
  </si>
  <si>
    <t>USA_Iowa_USD_ha</t>
  </si>
  <si>
    <t>USA_Nebraska_USD_ha</t>
  </si>
  <si>
    <t>USA_Prom_IA_NE_USD_ha</t>
  </si>
  <si>
    <t>DICCIONARIO DE VARIABLES — DATASET MAESTRO</t>
  </si>
  <si>
    <t>Variable (nombre técnico)</t>
  </si>
  <si>
    <t>Descripción</t>
  </si>
  <si>
    <t>Fuente</t>
  </si>
  <si>
    <t>Unidad</t>
  </si>
  <si>
    <t>COMMODITIES GLOBALES</t>
  </si>
  <si>
    <t>Precio del oro spot</t>
  </si>
  <si>
    <t>CSV musipivotto</t>
  </si>
  <si>
    <t>USD/oz troy</t>
  </si>
  <si>
    <t>Precio del crudo West Texas Intermediate</t>
  </si>
  <si>
    <t>USD/barril</t>
  </si>
  <si>
    <t>ARGENTINA — TIERRA RURAL</t>
  </si>
  <si>
    <t>Valor de Ha agrícola, Sur Córdoba (Río Cuarto / Marcos Juárez)</t>
  </si>
  <si>
    <t>Reporte Inmobiliario / IDECOR</t>
  </si>
  <si>
    <t>USD/ha</t>
  </si>
  <si>
    <t>Alquiler de campo, Sur Córdoba</t>
  </si>
  <si>
    <t>CAIR / Márgenes Agropecuarios</t>
  </si>
  <si>
    <t>qq soja/ha/año</t>
  </si>
  <si>
    <t>ARGENTINA — INMUEBLE URBANO (CABA)</t>
  </si>
  <si>
    <t>Precio de venta m² Barrio Norte CABA</t>
  </si>
  <si>
    <t>Reporte Inmobiliario</t>
  </si>
  <si>
    <t>USD/m²</t>
  </si>
  <si>
    <t>Alquiler mensual 3 ambientes Barrio Norte CABA</t>
  </si>
  <si>
    <t>USD/mes</t>
  </si>
  <si>
    <t>ARGENTINA — GRANOS</t>
  </si>
  <si>
    <t>Precio pizarra soja Rosario</t>
  </si>
  <si>
    <t>Bolsa de Comercio de Rosario</t>
  </si>
  <si>
    <t>USD/qq (100kg)</t>
  </si>
  <si>
    <t>Precio pizarra maíz Rosario</t>
  </si>
  <si>
    <t>USD/qq</t>
  </si>
  <si>
    <t>Precio pizarra trigo Rosario</t>
  </si>
  <si>
    <t>ARGENTINA — GANADERÍA</t>
  </si>
  <si>
    <t>Precio novillo Liniers</t>
  </si>
  <si>
    <t>Valor Carne / La Nación</t>
  </si>
  <si>
    <t>USD/kg vivo</t>
  </si>
  <si>
    <t>ARGENTINA — RATIOS</t>
  </si>
  <si>
    <t>1 Ha Sur Córdoba = N m² depto Barrio Norte</t>
  </si>
  <si>
    <t>Calculado</t>
  </si>
  <si>
    <t>adimensional</t>
  </si>
  <si>
    <t>1 Ha = N meses de alquiler 3 amb Barrio Norte</t>
  </si>
  <si>
    <t>meses</t>
  </si>
  <si>
    <t>1 Ha = N quintales de soja (precio pizarra)</t>
  </si>
  <si>
    <t>qq</t>
  </si>
  <si>
    <t>1 Ha = N quintales de maíz</t>
  </si>
  <si>
    <t>1 Ha = N quintales de trigo</t>
  </si>
  <si>
    <t>1 Ha = N kg de novillo Liniers</t>
  </si>
  <si>
    <t>kg</t>
  </si>
  <si>
    <t>USA — TIERRAS AGRÍCOLAS</t>
  </si>
  <si>
    <t>Valor de tierra agrícola Iowa</t>
  </si>
  <si>
    <t>ISU Land Value Survey</t>
  </si>
  <si>
    <t>USD/acre</t>
  </si>
  <si>
    <t>Valor de tierra agrícola Nebraska</t>
  </si>
  <si>
    <t>UNL Farm Real Estate Survey</t>
  </si>
  <si>
    <t>Valor de tierra agrícola Iowa (convertido)</t>
  </si>
  <si>
    <t>ISU (calculado)</t>
  </si>
  <si>
    <t>Valor de tierra agrícola Nebraska (convertido)</t>
  </si>
  <si>
    <t>UNL (calculado)</t>
  </si>
  <si>
    <t>Promedio Iowa + Nebraska</t>
  </si>
  <si>
    <t>NYC — INMOBILIARIO</t>
  </si>
  <si>
    <t>Precio de venta Manhattan</t>
  </si>
  <si>
    <t>Corcoran / Castle-Avenue</t>
  </si>
  <si>
    <t>USD/ft²</t>
  </si>
  <si>
    <t>Alquiler 3 ambientes Manhattan (zona media-alta)</t>
  </si>
  <si>
    <t>StreetEasy / Miller Samuel</t>
  </si>
  <si>
    <t>USA — GRANOS</t>
  </si>
  <si>
    <t>Precio soja recibido por productor USA</t>
  </si>
  <si>
    <t>USDA-NASS</t>
  </si>
  <si>
    <t>USD/bushel</t>
  </si>
  <si>
    <t>Precio maíz recibido por productor USA</t>
  </si>
  <si>
    <t>Precio trigo recibido por productor USA</t>
  </si>
  <si>
    <t>Precio soja convertido a toneladas</t>
  </si>
  <si>
    <t>CBOT/CME (calculado)</t>
  </si>
  <si>
    <t>USD/ton</t>
  </si>
  <si>
    <t>Precio maíz convertido a toneladas</t>
  </si>
  <si>
    <t>USA — GANADERÍA</t>
  </si>
  <si>
    <t>Precio novillo en pie USA</t>
  </si>
  <si>
    <t>USDA-AMS</t>
  </si>
  <si>
    <t>USD/cwt (100lb)</t>
  </si>
  <si>
    <t>Precio novillo en pie USA convertido</t>
  </si>
  <si>
    <t>USDA-AMS (calculado)</t>
  </si>
  <si>
    <t>USD/kg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</si>
</sst>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FFFFFF"/>
      <name val="Arial"/>
    </font>
    <font/>
    <font>
      <b/>
      <sz val="9.0"/>
      <color theme="1"/>
      <name val="Arial"/>
    </font>
    <font>
      <sz val="9.0"/>
      <color theme="1"/>
      <name val="Arial"/>
    </font>
    <font>
      <b/>
      <sz val="11.0"/>
      <color rgb="FF1F3864"/>
      <name val="Arial"/>
    </font>
    <font>
      <b/>
      <sz val="9.0"/>
      <color rgb="FFFFFFFF"/>
      <name val="Arial"/>
    </font>
    <font>
      <b/>
      <sz val="12.0"/>
      <color rgb="FF1F3864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833C00"/>
        <bgColor rgb="FF833C00"/>
      </patternFill>
    </fill>
    <fill>
      <patternFill patternType="solid">
        <fgColor rgb="FF375623"/>
        <bgColor rgb="FF375623"/>
      </patternFill>
    </fill>
    <fill>
      <patternFill patternType="solid">
        <fgColor rgb="FF595959"/>
        <bgColor rgb="FF595959"/>
      </patternFill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  <fill>
      <patternFill patternType="solid">
        <fgColor rgb="FFF7F7F7"/>
        <bgColor rgb="FFF7F7F7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2" fillId="4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1" fillId="4" fontId="1" numFmtId="0" xfId="0" applyAlignment="1" applyBorder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2" fillId="7" fontId="1" numFmtId="0" xfId="0" applyAlignment="1" applyBorder="1" applyFill="1" applyFont="1">
      <alignment horizontal="center" shrinkToFit="0" vertical="center" wrapText="1"/>
    </xf>
    <xf borderId="2" fillId="8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/>
    </xf>
    <xf borderId="1" fillId="9" fontId="4" numFmtId="0" xfId="0" applyBorder="1" applyFont="1"/>
    <xf borderId="0" fillId="0" fontId="4" numFmtId="0" xfId="0" applyFont="1"/>
    <xf borderId="0" fillId="0" fontId="3" numFmtId="0" xfId="0" applyAlignment="1" applyFont="1">
      <alignment horizontal="center"/>
    </xf>
    <xf borderId="0" fillId="0" fontId="5" numFmtId="0" xfId="0" applyFont="1"/>
    <xf borderId="1" fillId="2" fontId="6" numFmtId="0" xfId="0" applyAlignment="1" applyBorder="1" applyFont="1">
      <alignment horizontal="center" shrinkToFit="0" wrapText="1"/>
    </xf>
    <xf borderId="1" fillId="10" fontId="4" numFmtId="0" xfId="0" applyBorder="1" applyFill="1" applyFont="1"/>
    <xf borderId="0" fillId="0" fontId="7" numFmtId="0" xfId="0" applyFont="1"/>
    <xf borderId="1" fillId="2" fontId="6" numFmtId="0" xfId="0" applyAlignment="1" applyBorder="1" applyFont="1">
      <alignment horizontal="center"/>
    </xf>
    <xf borderId="2" fillId="3" fontId="6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7.0"/>
    <col customWidth="1" min="2" max="33" width="16.0"/>
    <col customWidth="1" min="34" max="36" width="28.0"/>
  </cols>
  <sheetData>
    <row r="1" ht="27.75" customHeight="1">
      <c r="A1" s="1" t="s">
        <v>0</v>
      </c>
      <c r="B1" s="2" t="s">
        <v>1</v>
      </c>
      <c r="C1" s="3"/>
      <c r="D1" s="4" t="s">
        <v>2</v>
      </c>
      <c r="E1" s="3"/>
      <c r="F1" s="4" t="s">
        <v>3</v>
      </c>
      <c r="G1" s="3"/>
      <c r="H1" s="4" t="s">
        <v>4</v>
      </c>
      <c r="I1" s="5"/>
      <c r="J1" s="3"/>
      <c r="K1" s="6" t="s">
        <v>5</v>
      </c>
      <c r="L1" s="7" t="s">
        <v>6</v>
      </c>
      <c r="M1" s="5"/>
      <c r="N1" s="5"/>
      <c r="O1" s="5"/>
      <c r="P1" s="5"/>
      <c r="Q1" s="3"/>
      <c r="R1" s="8" t="s">
        <v>7</v>
      </c>
      <c r="S1" s="5"/>
      <c r="T1" s="3"/>
      <c r="U1" s="8" t="s">
        <v>8</v>
      </c>
      <c r="V1" s="5"/>
      <c r="W1" s="3"/>
      <c r="X1" s="9" t="s">
        <v>9</v>
      </c>
      <c r="Y1" s="5"/>
      <c r="Z1" s="3"/>
      <c r="AA1" s="10" t="s">
        <v>10</v>
      </c>
      <c r="AB1" s="5"/>
      <c r="AC1" s="5"/>
      <c r="AD1" s="5"/>
      <c r="AE1" s="3"/>
      <c r="AF1" s="10" t="s">
        <v>11</v>
      </c>
      <c r="AG1" s="3"/>
      <c r="AH1" s="11" t="s">
        <v>12</v>
      </c>
      <c r="AI1" s="5"/>
      <c r="AJ1" s="3"/>
    </row>
    <row r="2" ht="39.75" customHeight="1">
      <c r="A2" s="1" t="s">
        <v>0</v>
      </c>
      <c r="B2" s="12" t="s">
        <v>13</v>
      </c>
      <c r="C2" s="12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13" t="s">
        <v>23</v>
      </c>
      <c r="M2" s="13" t="s">
        <v>24</v>
      </c>
      <c r="N2" s="13" t="s">
        <v>25</v>
      </c>
      <c r="O2" s="13" t="s">
        <v>26</v>
      </c>
      <c r="P2" s="13" t="s">
        <v>27</v>
      </c>
      <c r="Q2" s="13" t="s">
        <v>28</v>
      </c>
      <c r="R2" s="14" t="s">
        <v>29</v>
      </c>
      <c r="S2" s="14" t="s">
        <v>30</v>
      </c>
      <c r="T2" s="14" t="s">
        <v>31</v>
      </c>
      <c r="U2" s="14" t="s">
        <v>32</v>
      </c>
      <c r="V2" s="14" t="s">
        <v>33</v>
      </c>
      <c r="W2" s="14" t="s">
        <v>34</v>
      </c>
      <c r="X2" s="15" t="s">
        <v>35</v>
      </c>
      <c r="Y2" s="15" t="s">
        <v>36</v>
      </c>
      <c r="Z2" s="15" t="s">
        <v>37</v>
      </c>
      <c r="AA2" s="16" t="s">
        <v>38</v>
      </c>
      <c r="AB2" s="16" t="s">
        <v>39</v>
      </c>
      <c r="AC2" s="16" t="s">
        <v>40</v>
      </c>
      <c r="AD2" s="16" t="s">
        <v>41</v>
      </c>
      <c r="AE2" s="16" t="s">
        <v>42</v>
      </c>
      <c r="AF2" s="16" t="s">
        <v>43</v>
      </c>
      <c r="AG2" s="16" t="s">
        <v>44</v>
      </c>
      <c r="AH2" s="1" t="s">
        <v>45</v>
      </c>
      <c r="AI2" s="1" t="s">
        <v>46</v>
      </c>
      <c r="AJ2" s="1" t="s">
        <v>47</v>
      </c>
    </row>
    <row r="3">
      <c r="A3" s="17">
        <v>1975.0</v>
      </c>
      <c r="B3" s="18">
        <v>161.0</v>
      </c>
      <c r="C3" s="18">
        <v>11.0</v>
      </c>
      <c r="D3" s="18">
        <v>250.0</v>
      </c>
      <c r="E3" s="18"/>
      <c r="F3" s="18">
        <v>300.0</v>
      </c>
      <c r="G3" s="18">
        <v>60.0</v>
      </c>
      <c r="H3" s="18">
        <v>5.5</v>
      </c>
      <c r="I3" s="18">
        <v>2.8</v>
      </c>
      <c r="J3" s="18">
        <v>3.2</v>
      </c>
      <c r="K3" s="18">
        <v>0.55</v>
      </c>
      <c r="L3" s="18">
        <v>0.8</v>
      </c>
      <c r="M3" s="18">
        <v>4.2</v>
      </c>
      <c r="N3" s="18">
        <v>454.5</v>
      </c>
      <c r="O3" s="18">
        <v>892.9</v>
      </c>
      <c r="P3" s="18">
        <v>781.2</v>
      </c>
      <c r="Q3" s="18">
        <v>454545.5</v>
      </c>
      <c r="R3" s="18">
        <v>1025.0</v>
      </c>
      <c r="S3" s="18">
        <v>425.0</v>
      </c>
      <c r="T3" s="18">
        <f t="shared" ref="T3:T53" si="2">AVERAGE(R3:S3)</f>
        <v>725</v>
      </c>
      <c r="U3" s="19">
        <f t="shared" ref="U3:W3" si="1">R3*2.471</f>
        <v>2532.775</v>
      </c>
      <c r="V3" s="19">
        <f t="shared" si="1"/>
        <v>1050.175</v>
      </c>
      <c r="W3" s="19">
        <f t="shared" si="1"/>
        <v>1791.475</v>
      </c>
      <c r="X3" s="18"/>
      <c r="Y3" s="18"/>
      <c r="Z3" s="18">
        <v>600.0</v>
      </c>
      <c r="AA3" s="18">
        <v>4.92</v>
      </c>
      <c r="AB3" s="18">
        <v>2.54</v>
      </c>
      <c r="AC3" s="18">
        <v>3.55</v>
      </c>
      <c r="AD3" s="18">
        <f t="shared" ref="AD3:AD53" si="4">AA3*36.74</f>
        <v>180.7608</v>
      </c>
      <c r="AE3" s="18">
        <f t="shared" ref="AE3:AE53" si="5">AB3*39.37</f>
        <v>99.9998</v>
      </c>
      <c r="AF3" s="18">
        <v>42.0</v>
      </c>
      <c r="AG3" s="18">
        <f t="shared" ref="AG3:AG53" si="6">AF3/50.8023</f>
        <v>0.8267342227</v>
      </c>
      <c r="AH3" s="18" t="s">
        <v>48</v>
      </c>
      <c r="AI3" s="18" t="s">
        <v>49</v>
      </c>
      <c r="AJ3" s="18" t="s">
        <v>50</v>
      </c>
    </row>
    <row r="4">
      <c r="A4" s="20">
        <v>1976.0</v>
      </c>
      <c r="B4" s="19">
        <v>124.0</v>
      </c>
      <c r="C4" s="19">
        <v>13.0</v>
      </c>
      <c r="D4" s="19">
        <v>270.0</v>
      </c>
      <c r="E4" s="19"/>
      <c r="F4" s="19">
        <v>320.0</v>
      </c>
      <c r="G4" s="19">
        <v>65.0</v>
      </c>
      <c r="H4" s="19">
        <v>6.0</v>
      </c>
      <c r="I4" s="19">
        <v>3.0</v>
      </c>
      <c r="J4" s="19">
        <v>3.5</v>
      </c>
      <c r="K4" s="19">
        <v>0.5</v>
      </c>
      <c r="L4" s="19">
        <v>0.8</v>
      </c>
      <c r="M4" s="19">
        <v>4.2</v>
      </c>
      <c r="N4" s="19">
        <v>450.0</v>
      </c>
      <c r="O4" s="19">
        <v>900.0</v>
      </c>
      <c r="P4" s="19">
        <v>771.4</v>
      </c>
      <c r="Q4" s="19">
        <v>540000.0</v>
      </c>
      <c r="R4" s="19">
        <v>1114.0</v>
      </c>
      <c r="S4" s="19">
        <v>476.0</v>
      </c>
      <c r="T4" s="18">
        <f t="shared" si="2"/>
        <v>795</v>
      </c>
      <c r="U4" s="19">
        <f t="shared" ref="U4:W4" si="3">R4*2.471</f>
        <v>2752.694</v>
      </c>
      <c r="V4" s="19">
        <f t="shared" si="3"/>
        <v>1176.196</v>
      </c>
      <c r="W4" s="19">
        <f t="shared" si="3"/>
        <v>1964.445</v>
      </c>
      <c r="X4" s="19"/>
      <c r="Y4" s="19"/>
      <c r="Z4" s="19">
        <v>625.0</v>
      </c>
      <c r="AA4" s="19">
        <v>5.08</v>
      </c>
      <c r="AB4" s="19">
        <v>2.15</v>
      </c>
      <c r="AC4" s="19">
        <v>3.41</v>
      </c>
      <c r="AD4" s="18">
        <f t="shared" si="4"/>
        <v>186.6392</v>
      </c>
      <c r="AE4" s="18">
        <f t="shared" si="5"/>
        <v>84.6455</v>
      </c>
      <c r="AF4" s="19">
        <v>36.0</v>
      </c>
      <c r="AG4" s="18">
        <f t="shared" si="6"/>
        <v>0.7086293337</v>
      </c>
      <c r="AH4" s="19" t="s">
        <v>51</v>
      </c>
      <c r="AI4" s="19" t="s">
        <v>52</v>
      </c>
      <c r="AJ4" s="19" t="s">
        <v>53</v>
      </c>
    </row>
    <row r="5">
      <c r="A5" s="17">
        <v>1977.0</v>
      </c>
      <c r="B5" s="18">
        <v>148.0</v>
      </c>
      <c r="C5" s="18">
        <v>14.0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>
        <v>1205.0</v>
      </c>
      <c r="S5" s="18">
        <v>520.0</v>
      </c>
      <c r="T5" s="18">
        <f t="shared" si="2"/>
        <v>862.5</v>
      </c>
      <c r="U5" s="19">
        <f t="shared" ref="U5:W5" si="7">R5*2.471</f>
        <v>2977.555</v>
      </c>
      <c r="V5" s="19">
        <f t="shared" si="7"/>
        <v>1284.92</v>
      </c>
      <c r="W5" s="19">
        <f t="shared" si="7"/>
        <v>2131.2375</v>
      </c>
      <c r="X5" s="18"/>
      <c r="Y5" s="18"/>
      <c r="Z5" s="18">
        <v>650.0</v>
      </c>
      <c r="AA5" s="18">
        <v>5.88</v>
      </c>
      <c r="AB5" s="18">
        <v>2.02</v>
      </c>
      <c r="AC5" s="18">
        <v>2.33</v>
      </c>
      <c r="AD5" s="18">
        <f t="shared" si="4"/>
        <v>216.0312</v>
      </c>
      <c r="AE5" s="18">
        <f t="shared" si="5"/>
        <v>79.5274</v>
      </c>
      <c r="AF5" s="18">
        <v>37.0</v>
      </c>
      <c r="AG5" s="18">
        <f t="shared" si="6"/>
        <v>0.7283134819</v>
      </c>
      <c r="AH5" s="18"/>
      <c r="AI5" s="18"/>
      <c r="AJ5" s="18"/>
    </row>
    <row r="6">
      <c r="A6" s="20">
        <v>1978.0</v>
      </c>
      <c r="B6" s="19">
        <v>193.0</v>
      </c>
      <c r="C6" s="19">
        <v>15.0</v>
      </c>
      <c r="D6" s="19">
        <v>310.0</v>
      </c>
      <c r="E6" s="19"/>
      <c r="F6" s="19">
        <v>380.0</v>
      </c>
      <c r="G6" s="19">
        <v>75.0</v>
      </c>
      <c r="H6" s="19">
        <v>6.5</v>
      </c>
      <c r="I6" s="19">
        <v>3.2</v>
      </c>
      <c r="J6" s="19">
        <v>3.8</v>
      </c>
      <c r="K6" s="19">
        <v>0.55</v>
      </c>
      <c r="L6" s="19">
        <v>0.8</v>
      </c>
      <c r="M6" s="19">
        <v>4.1</v>
      </c>
      <c r="N6" s="19">
        <v>476.9</v>
      </c>
      <c r="O6" s="19">
        <v>968.8</v>
      </c>
      <c r="P6" s="19">
        <v>815.8</v>
      </c>
      <c r="Q6" s="19">
        <v>563636.4</v>
      </c>
      <c r="R6" s="19">
        <v>1410.0</v>
      </c>
      <c r="S6" s="19">
        <v>617.0</v>
      </c>
      <c r="T6" s="18">
        <f t="shared" si="2"/>
        <v>1013.5</v>
      </c>
      <c r="U6" s="19">
        <f t="shared" ref="U6:W6" si="8">R6*2.471</f>
        <v>3484.11</v>
      </c>
      <c r="V6" s="19">
        <f t="shared" si="8"/>
        <v>1524.607</v>
      </c>
      <c r="W6" s="19">
        <f t="shared" si="8"/>
        <v>2504.3585</v>
      </c>
      <c r="X6" s="19"/>
      <c r="Y6" s="19"/>
      <c r="Z6" s="19">
        <v>700.0</v>
      </c>
      <c r="AA6" s="19">
        <v>6.66</v>
      </c>
      <c r="AB6" s="19">
        <v>2.25</v>
      </c>
      <c r="AC6" s="19">
        <v>2.97</v>
      </c>
      <c r="AD6" s="18">
        <f t="shared" si="4"/>
        <v>244.6884</v>
      </c>
      <c r="AE6" s="18">
        <f t="shared" si="5"/>
        <v>88.5825</v>
      </c>
      <c r="AF6" s="19">
        <v>50.0</v>
      </c>
      <c r="AG6" s="18">
        <f t="shared" si="6"/>
        <v>0.9842074079</v>
      </c>
      <c r="AH6" s="19" t="s">
        <v>54</v>
      </c>
      <c r="AI6" s="19" t="s">
        <v>55</v>
      </c>
      <c r="AJ6" s="19" t="s">
        <v>56</v>
      </c>
    </row>
    <row r="7">
      <c r="A7" s="17">
        <v>1979.0</v>
      </c>
      <c r="B7" s="18">
        <v>306.0</v>
      </c>
      <c r="C7" s="18">
        <v>26.0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>
        <v>1755.0</v>
      </c>
      <c r="S7" s="18">
        <v>780.0</v>
      </c>
      <c r="T7" s="18">
        <f t="shared" si="2"/>
        <v>1267.5</v>
      </c>
      <c r="U7" s="19">
        <f t="shared" ref="U7:W7" si="9">R7*2.471</f>
        <v>4336.605</v>
      </c>
      <c r="V7" s="19">
        <f t="shared" si="9"/>
        <v>1927.38</v>
      </c>
      <c r="W7" s="19">
        <f t="shared" si="9"/>
        <v>3131.9925</v>
      </c>
      <c r="X7" s="18"/>
      <c r="Y7" s="18"/>
      <c r="Z7" s="18">
        <v>750.0</v>
      </c>
      <c r="AA7" s="18">
        <v>6.28</v>
      </c>
      <c r="AB7" s="18">
        <v>2.52</v>
      </c>
      <c r="AC7" s="18">
        <v>3.78</v>
      </c>
      <c r="AD7" s="18">
        <f t="shared" si="4"/>
        <v>230.7272</v>
      </c>
      <c r="AE7" s="18">
        <f t="shared" si="5"/>
        <v>99.2124</v>
      </c>
      <c r="AF7" s="18">
        <v>64.0</v>
      </c>
      <c r="AG7" s="18">
        <f t="shared" si="6"/>
        <v>1.259785482</v>
      </c>
      <c r="AH7" s="18"/>
      <c r="AI7" s="18"/>
      <c r="AJ7" s="18"/>
    </row>
    <row r="8">
      <c r="A8" s="20">
        <v>1980.0</v>
      </c>
      <c r="B8" s="19">
        <v>613.0</v>
      </c>
      <c r="C8" s="19">
        <v>35.0</v>
      </c>
      <c r="D8" s="19">
        <v>420.0</v>
      </c>
      <c r="E8" s="19"/>
      <c r="F8" s="19">
        <v>500.0</v>
      </c>
      <c r="G8" s="19">
        <v>90.0</v>
      </c>
      <c r="H8" s="19">
        <v>7.5</v>
      </c>
      <c r="I8" s="19">
        <v>3.5</v>
      </c>
      <c r="J8" s="19">
        <v>4.2</v>
      </c>
      <c r="K8" s="19">
        <v>0.6</v>
      </c>
      <c r="L8" s="19">
        <v>0.8</v>
      </c>
      <c r="M8" s="19">
        <v>4.7</v>
      </c>
      <c r="N8" s="19">
        <v>560.0</v>
      </c>
      <c r="O8" s="19">
        <v>1200.0</v>
      </c>
      <c r="P8" s="19">
        <v>1000.0</v>
      </c>
      <c r="Q8" s="19">
        <v>700000.0</v>
      </c>
      <c r="R8" s="19">
        <v>2066.0</v>
      </c>
      <c r="S8" s="19">
        <v>915.0</v>
      </c>
      <c r="T8" s="18">
        <f t="shared" si="2"/>
        <v>1490.5</v>
      </c>
      <c r="U8" s="19">
        <f t="shared" ref="U8:W8" si="10">R8*2.471</f>
        <v>5105.086</v>
      </c>
      <c r="V8" s="19">
        <f t="shared" si="10"/>
        <v>2260.965</v>
      </c>
      <c r="W8" s="19">
        <f t="shared" si="10"/>
        <v>3683.0255</v>
      </c>
      <c r="X8" s="19"/>
      <c r="Y8" s="19"/>
      <c r="Z8" s="19">
        <v>780.0</v>
      </c>
      <c r="AA8" s="19">
        <v>7.57</v>
      </c>
      <c r="AB8" s="19">
        <v>3.11</v>
      </c>
      <c r="AC8" s="19">
        <v>3.91</v>
      </c>
      <c r="AD8" s="18">
        <f t="shared" si="4"/>
        <v>278.1218</v>
      </c>
      <c r="AE8" s="18">
        <f t="shared" si="5"/>
        <v>122.4407</v>
      </c>
      <c r="AF8" s="19">
        <v>61.0</v>
      </c>
      <c r="AG8" s="18">
        <f t="shared" si="6"/>
        <v>1.200733038</v>
      </c>
      <c r="AH8" s="19" t="s">
        <v>57</v>
      </c>
      <c r="AI8" s="19" t="s">
        <v>58</v>
      </c>
      <c r="AJ8" s="19" t="s">
        <v>59</v>
      </c>
    </row>
    <row r="9">
      <c r="A9" s="17">
        <v>1981.0</v>
      </c>
      <c r="B9" s="18">
        <v>460.0</v>
      </c>
      <c r="C9" s="18">
        <v>34.0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>
        <v>2147.0</v>
      </c>
      <c r="S9" s="18">
        <v>980.0</v>
      </c>
      <c r="T9" s="18">
        <f t="shared" si="2"/>
        <v>1563.5</v>
      </c>
      <c r="U9" s="19">
        <f t="shared" ref="U9:W9" si="11">R9*2.471</f>
        <v>5305.237</v>
      </c>
      <c r="V9" s="19">
        <f t="shared" si="11"/>
        <v>2421.58</v>
      </c>
      <c r="W9" s="19">
        <f t="shared" si="11"/>
        <v>3863.4085</v>
      </c>
      <c r="X9" s="18"/>
      <c r="Y9" s="18"/>
      <c r="Z9" s="18">
        <v>820.0</v>
      </c>
      <c r="AA9" s="18">
        <v>6.67</v>
      </c>
      <c r="AB9" s="18">
        <v>2.5</v>
      </c>
      <c r="AC9" s="18">
        <v>3.65</v>
      </c>
      <c r="AD9" s="18">
        <f t="shared" si="4"/>
        <v>245.0558</v>
      </c>
      <c r="AE9" s="18">
        <f t="shared" si="5"/>
        <v>98.425</v>
      </c>
      <c r="AF9" s="18">
        <v>62.0</v>
      </c>
      <c r="AG9" s="18">
        <f t="shared" si="6"/>
        <v>1.220417186</v>
      </c>
      <c r="AH9" s="18"/>
      <c r="AI9" s="18"/>
      <c r="AJ9" s="18"/>
    </row>
    <row r="10">
      <c r="A10" s="20">
        <v>1982.0</v>
      </c>
      <c r="B10" s="19">
        <v>376.0</v>
      </c>
      <c r="C10" s="19">
        <v>31.0</v>
      </c>
      <c r="D10" s="19">
        <v>250.0</v>
      </c>
      <c r="E10" s="19"/>
      <c r="F10" s="19">
        <v>380.0</v>
      </c>
      <c r="G10" s="19">
        <v>70.0</v>
      </c>
      <c r="H10" s="19">
        <v>5.8</v>
      </c>
      <c r="I10" s="19">
        <v>2.5</v>
      </c>
      <c r="J10" s="19">
        <v>3.0</v>
      </c>
      <c r="K10" s="19">
        <v>0.45</v>
      </c>
      <c r="L10" s="19">
        <v>0.7</v>
      </c>
      <c r="M10" s="19">
        <v>3.6</v>
      </c>
      <c r="N10" s="19">
        <v>431.0</v>
      </c>
      <c r="O10" s="19">
        <v>1000.0</v>
      </c>
      <c r="P10" s="19">
        <v>833.3</v>
      </c>
      <c r="Q10" s="19">
        <v>555555.6</v>
      </c>
      <c r="R10" s="19">
        <v>1974.0</v>
      </c>
      <c r="S10" s="19">
        <v>925.0</v>
      </c>
      <c r="T10" s="18">
        <f t="shared" si="2"/>
        <v>1449.5</v>
      </c>
      <c r="U10" s="19">
        <f t="shared" ref="U10:W10" si="12">R10*2.471</f>
        <v>4877.754</v>
      </c>
      <c r="V10" s="19">
        <f t="shared" si="12"/>
        <v>2285.675</v>
      </c>
      <c r="W10" s="19">
        <f t="shared" si="12"/>
        <v>3581.7145</v>
      </c>
      <c r="X10" s="19"/>
      <c r="Y10" s="19"/>
      <c r="Z10" s="19">
        <v>850.0</v>
      </c>
      <c r="AA10" s="19">
        <v>5.71</v>
      </c>
      <c r="AB10" s="19">
        <v>2.68</v>
      </c>
      <c r="AC10" s="19">
        <v>3.55</v>
      </c>
      <c r="AD10" s="18">
        <f t="shared" si="4"/>
        <v>209.7854</v>
      </c>
      <c r="AE10" s="18">
        <f t="shared" si="5"/>
        <v>105.5116</v>
      </c>
      <c r="AF10" s="19">
        <v>59.0</v>
      </c>
      <c r="AG10" s="18">
        <f t="shared" si="6"/>
        <v>1.161364741</v>
      </c>
      <c r="AH10" s="19" t="s">
        <v>60</v>
      </c>
      <c r="AI10" s="19" t="s">
        <v>61</v>
      </c>
      <c r="AJ10" s="19" t="s">
        <v>62</v>
      </c>
    </row>
    <row r="11">
      <c r="A11" s="17">
        <v>1983.0</v>
      </c>
      <c r="B11" s="18">
        <v>424.0</v>
      </c>
      <c r="C11" s="18">
        <v>29.0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>
        <v>1679.0</v>
      </c>
      <c r="S11" s="18">
        <v>807.0</v>
      </c>
      <c r="T11" s="18">
        <f t="shared" si="2"/>
        <v>1243</v>
      </c>
      <c r="U11" s="19">
        <f t="shared" ref="U11:W11" si="13">R11*2.471</f>
        <v>4148.809</v>
      </c>
      <c r="V11" s="19">
        <f t="shared" si="13"/>
        <v>1994.097</v>
      </c>
      <c r="W11" s="19">
        <f t="shared" si="13"/>
        <v>3071.453</v>
      </c>
      <c r="X11" s="18"/>
      <c r="Y11" s="18"/>
      <c r="Z11" s="18">
        <v>875.0</v>
      </c>
      <c r="AA11" s="18">
        <v>7.83</v>
      </c>
      <c r="AB11" s="18">
        <v>3.2</v>
      </c>
      <c r="AC11" s="18">
        <v>3.54</v>
      </c>
      <c r="AD11" s="18">
        <f t="shared" si="4"/>
        <v>287.6742</v>
      </c>
      <c r="AE11" s="18">
        <f t="shared" si="5"/>
        <v>125.984</v>
      </c>
      <c r="AF11" s="18">
        <v>61.0</v>
      </c>
      <c r="AG11" s="18">
        <f t="shared" si="6"/>
        <v>1.200733038</v>
      </c>
      <c r="AH11" s="18"/>
      <c r="AI11" s="18"/>
      <c r="AJ11" s="18"/>
    </row>
    <row r="12">
      <c r="A12" s="20">
        <v>1984.0</v>
      </c>
      <c r="B12" s="19">
        <v>361.0</v>
      </c>
      <c r="C12" s="19">
        <v>28.0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>
        <v>1538.0</v>
      </c>
      <c r="S12" s="19">
        <v>738.0</v>
      </c>
      <c r="T12" s="18">
        <f t="shared" si="2"/>
        <v>1138</v>
      </c>
      <c r="U12" s="19">
        <f t="shared" ref="U12:W12" si="14">R12*2.471</f>
        <v>3800.398</v>
      </c>
      <c r="V12" s="19">
        <f t="shared" si="14"/>
        <v>1823.598</v>
      </c>
      <c r="W12" s="19">
        <f t="shared" si="14"/>
        <v>2811.998</v>
      </c>
      <c r="X12" s="19"/>
      <c r="Y12" s="19"/>
      <c r="Z12" s="19">
        <v>900.0</v>
      </c>
      <c r="AA12" s="19">
        <v>5.84</v>
      </c>
      <c r="AB12" s="19">
        <v>2.63</v>
      </c>
      <c r="AC12" s="19">
        <v>3.39</v>
      </c>
      <c r="AD12" s="18">
        <f t="shared" si="4"/>
        <v>214.5616</v>
      </c>
      <c r="AE12" s="18">
        <f t="shared" si="5"/>
        <v>103.5431</v>
      </c>
      <c r="AF12" s="19">
        <v>64.0</v>
      </c>
      <c r="AG12" s="18">
        <f t="shared" si="6"/>
        <v>1.259785482</v>
      </c>
      <c r="AH12" s="19"/>
      <c r="AI12" s="19"/>
      <c r="AJ12" s="19"/>
    </row>
    <row r="13">
      <c r="A13" s="17">
        <v>1985.0</v>
      </c>
      <c r="B13" s="18">
        <v>317.0</v>
      </c>
      <c r="C13" s="18">
        <v>27.0</v>
      </c>
      <c r="D13" s="18">
        <v>280.0</v>
      </c>
      <c r="E13" s="18"/>
      <c r="F13" s="18">
        <v>450.0</v>
      </c>
      <c r="G13" s="18">
        <v>80.0</v>
      </c>
      <c r="H13" s="18">
        <v>6.5</v>
      </c>
      <c r="I13" s="18">
        <v>2.8</v>
      </c>
      <c r="J13" s="18">
        <v>3.3</v>
      </c>
      <c r="K13" s="18">
        <v>0.48</v>
      </c>
      <c r="L13" s="18">
        <v>0.6</v>
      </c>
      <c r="M13" s="18">
        <v>3.5</v>
      </c>
      <c r="N13" s="18">
        <v>430.8</v>
      </c>
      <c r="O13" s="18">
        <v>1000.0</v>
      </c>
      <c r="P13" s="18">
        <v>848.5</v>
      </c>
      <c r="Q13" s="18">
        <v>583333.3</v>
      </c>
      <c r="R13" s="18">
        <v>1236.0</v>
      </c>
      <c r="S13" s="18">
        <v>632.0</v>
      </c>
      <c r="T13" s="18">
        <f t="shared" si="2"/>
        <v>934</v>
      </c>
      <c r="U13" s="19">
        <f t="shared" ref="U13:W13" si="15">R13*2.471</f>
        <v>3054.156</v>
      </c>
      <c r="V13" s="19">
        <f t="shared" si="15"/>
        <v>1561.672</v>
      </c>
      <c r="W13" s="19">
        <f t="shared" si="15"/>
        <v>2307.914</v>
      </c>
      <c r="X13" s="18">
        <f t="shared" ref="X13:X53" si="17">Y13*10.7639</f>
        <v>3390.6285</v>
      </c>
      <c r="Y13" s="18">
        <v>315.0</v>
      </c>
      <c r="Z13" s="18">
        <v>925.0</v>
      </c>
      <c r="AA13" s="18">
        <v>5.05</v>
      </c>
      <c r="AB13" s="18">
        <v>2.23</v>
      </c>
      <c r="AC13" s="18">
        <v>3.08</v>
      </c>
      <c r="AD13" s="18">
        <f t="shared" si="4"/>
        <v>185.537</v>
      </c>
      <c r="AE13" s="18">
        <f t="shared" si="5"/>
        <v>87.7951</v>
      </c>
      <c r="AF13" s="18">
        <v>55.0</v>
      </c>
      <c r="AG13" s="18">
        <f t="shared" si="6"/>
        <v>1.082628149</v>
      </c>
      <c r="AH13" s="18" t="s">
        <v>63</v>
      </c>
      <c r="AI13" s="18" t="s">
        <v>64</v>
      </c>
      <c r="AJ13" s="18" t="s">
        <v>65</v>
      </c>
    </row>
    <row r="14">
      <c r="A14" s="20">
        <v>1986.0</v>
      </c>
      <c r="B14" s="19">
        <v>368.0</v>
      </c>
      <c r="C14" s="19">
        <v>15.0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>
        <v>1020.0</v>
      </c>
      <c r="S14" s="19">
        <v>515.0</v>
      </c>
      <c r="T14" s="18">
        <f t="shared" si="2"/>
        <v>767.5</v>
      </c>
      <c r="U14" s="19">
        <f t="shared" ref="U14:W14" si="16">R14*2.471</f>
        <v>2520.42</v>
      </c>
      <c r="V14" s="19">
        <f t="shared" si="16"/>
        <v>1272.565</v>
      </c>
      <c r="W14" s="19">
        <f t="shared" si="16"/>
        <v>1896.4925</v>
      </c>
      <c r="X14" s="18">
        <f t="shared" si="17"/>
        <v>3530.5592</v>
      </c>
      <c r="Y14" s="19">
        <v>328.0</v>
      </c>
      <c r="Z14" s="19">
        <v>900.0</v>
      </c>
      <c r="AA14" s="19">
        <v>4.78</v>
      </c>
      <c r="AB14" s="19">
        <v>1.5</v>
      </c>
      <c r="AC14" s="19">
        <v>2.42</v>
      </c>
      <c r="AD14" s="18">
        <f t="shared" si="4"/>
        <v>175.6172</v>
      </c>
      <c r="AE14" s="18">
        <f t="shared" si="5"/>
        <v>59.055</v>
      </c>
      <c r="AF14" s="19">
        <v>52.0</v>
      </c>
      <c r="AG14" s="18">
        <f t="shared" si="6"/>
        <v>1.023575704</v>
      </c>
      <c r="AH14" s="19"/>
      <c r="AI14" s="19"/>
      <c r="AJ14" s="19"/>
    </row>
    <row r="15">
      <c r="A15" s="17">
        <v>1987.0</v>
      </c>
      <c r="B15" s="18">
        <v>447.0</v>
      </c>
      <c r="C15" s="18">
        <v>19.0</v>
      </c>
      <c r="D15" s="18">
        <v>260.0</v>
      </c>
      <c r="E15" s="18"/>
      <c r="F15" s="18">
        <v>420.0</v>
      </c>
      <c r="G15" s="18">
        <v>75.0</v>
      </c>
      <c r="H15" s="18">
        <v>6.0</v>
      </c>
      <c r="I15" s="18">
        <v>2.6</v>
      </c>
      <c r="J15" s="18">
        <v>3.1</v>
      </c>
      <c r="K15" s="18">
        <v>0.45</v>
      </c>
      <c r="L15" s="18">
        <v>0.6</v>
      </c>
      <c r="M15" s="18">
        <v>3.5</v>
      </c>
      <c r="N15" s="18">
        <v>433.3</v>
      </c>
      <c r="O15" s="18">
        <v>1000.0</v>
      </c>
      <c r="P15" s="18">
        <v>838.7</v>
      </c>
      <c r="Q15" s="18">
        <v>577777.8</v>
      </c>
      <c r="R15" s="18">
        <v>924.0</v>
      </c>
      <c r="S15" s="18">
        <v>462.0</v>
      </c>
      <c r="T15" s="18">
        <f t="shared" si="2"/>
        <v>693</v>
      </c>
      <c r="U15" s="19">
        <f t="shared" ref="U15:W15" si="18">R15*2.471</f>
        <v>2283.204</v>
      </c>
      <c r="V15" s="19">
        <f t="shared" si="18"/>
        <v>1141.602</v>
      </c>
      <c r="W15" s="19">
        <f t="shared" si="18"/>
        <v>1712.403</v>
      </c>
      <c r="X15" s="18">
        <f t="shared" si="17"/>
        <v>3971.8791</v>
      </c>
      <c r="Y15" s="18">
        <v>369.0</v>
      </c>
      <c r="Z15" s="18">
        <v>900.0</v>
      </c>
      <c r="AA15" s="18">
        <v>5.88</v>
      </c>
      <c r="AB15" s="18">
        <v>1.94</v>
      </c>
      <c r="AC15" s="18">
        <v>2.57</v>
      </c>
      <c r="AD15" s="18">
        <f t="shared" si="4"/>
        <v>216.0312</v>
      </c>
      <c r="AE15" s="18">
        <f t="shared" si="5"/>
        <v>76.3778</v>
      </c>
      <c r="AF15" s="18">
        <v>64.0</v>
      </c>
      <c r="AG15" s="18">
        <f t="shared" si="6"/>
        <v>1.259785482</v>
      </c>
      <c r="AH15" s="18" t="s">
        <v>66</v>
      </c>
      <c r="AI15" s="18" t="s">
        <v>67</v>
      </c>
      <c r="AJ15" s="18" t="s">
        <v>68</v>
      </c>
    </row>
    <row r="16">
      <c r="A16" s="20">
        <v>1988.0</v>
      </c>
      <c r="B16" s="19">
        <v>437.0</v>
      </c>
      <c r="C16" s="19">
        <v>15.0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>
        <v>862.0</v>
      </c>
      <c r="S16" s="19">
        <v>440.0</v>
      </c>
      <c r="T16" s="18">
        <f t="shared" si="2"/>
        <v>651</v>
      </c>
      <c r="U16" s="19">
        <f t="shared" ref="U16:W16" si="19">R16*2.471</f>
        <v>2130.002</v>
      </c>
      <c r="V16" s="19">
        <f t="shared" si="19"/>
        <v>1087.24</v>
      </c>
      <c r="W16" s="19">
        <f t="shared" si="19"/>
        <v>1608.621</v>
      </c>
      <c r="X16" s="18">
        <f t="shared" si="17"/>
        <v>3961.1152</v>
      </c>
      <c r="Y16" s="19">
        <v>368.0</v>
      </c>
      <c r="Z16" s="19">
        <v>925.0</v>
      </c>
      <c r="AA16" s="19">
        <v>7.4</v>
      </c>
      <c r="AB16" s="19">
        <v>2.54</v>
      </c>
      <c r="AC16" s="19">
        <v>3.72</v>
      </c>
      <c r="AD16" s="18">
        <f t="shared" si="4"/>
        <v>271.876</v>
      </c>
      <c r="AE16" s="18">
        <f t="shared" si="5"/>
        <v>99.9998</v>
      </c>
      <c r="AF16" s="19">
        <v>68.0</v>
      </c>
      <c r="AG16" s="18">
        <f t="shared" si="6"/>
        <v>1.338522075</v>
      </c>
      <c r="AH16" s="19"/>
      <c r="AI16" s="19"/>
      <c r="AJ16" s="19"/>
    </row>
    <row r="17">
      <c r="A17" s="17">
        <v>1989.0</v>
      </c>
      <c r="B17" s="18">
        <v>381.0</v>
      </c>
      <c r="C17" s="18">
        <v>18.0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>
        <v>852.0</v>
      </c>
      <c r="S17" s="18">
        <v>435.0</v>
      </c>
      <c r="T17" s="18">
        <f t="shared" si="2"/>
        <v>643.5</v>
      </c>
      <c r="U17" s="19">
        <f t="shared" ref="U17:W17" si="20">R17*2.471</f>
        <v>2105.292</v>
      </c>
      <c r="V17" s="19">
        <f t="shared" si="20"/>
        <v>1074.885</v>
      </c>
      <c r="W17" s="19">
        <f t="shared" si="20"/>
        <v>1590.0885</v>
      </c>
      <c r="X17" s="18">
        <f t="shared" si="17"/>
        <v>3950.3513</v>
      </c>
      <c r="Y17" s="18">
        <v>367.0</v>
      </c>
      <c r="Z17" s="18">
        <v>975.0</v>
      </c>
      <c r="AA17" s="18">
        <v>5.69</v>
      </c>
      <c r="AB17" s="18">
        <v>2.36</v>
      </c>
      <c r="AC17" s="18">
        <v>3.72</v>
      </c>
      <c r="AD17" s="18">
        <f t="shared" si="4"/>
        <v>209.0506</v>
      </c>
      <c r="AE17" s="18">
        <f t="shared" si="5"/>
        <v>92.9132</v>
      </c>
      <c r="AF17" s="18">
        <v>70.0</v>
      </c>
      <c r="AG17" s="18">
        <f t="shared" si="6"/>
        <v>1.377890371</v>
      </c>
      <c r="AH17" s="18"/>
      <c r="AI17" s="18"/>
      <c r="AJ17" s="18"/>
    </row>
    <row r="18">
      <c r="A18" s="20">
        <v>1990.0</v>
      </c>
      <c r="B18" s="19">
        <v>384.0</v>
      </c>
      <c r="C18" s="19">
        <v>24.0</v>
      </c>
      <c r="D18" s="19">
        <v>200.0</v>
      </c>
      <c r="E18" s="19"/>
      <c r="F18" s="19">
        <v>400.0</v>
      </c>
      <c r="G18" s="19">
        <v>70.0</v>
      </c>
      <c r="H18" s="19">
        <v>5.5</v>
      </c>
      <c r="I18" s="19">
        <v>2.4</v>
      </c>
      <c r="J18" s="19">
        <v>2.9</v>
      </c>
      <c r="K18" s="19">
        <v>0.4</v>
      </c>
      <c r="L18" s="19">
        <v>0.5</v>
      </c>
      <c r="M18" s="19">
        <v>2.9</v>
      </c>
      <c r="N18" s="19">
        <v>363.6</v>
      </c>
      <c r="O18" s="19">
        <v>833.3</v>
      </c>
      <c r="P18" s="19">
        <v>689.7</v>
      </c>
      <c r="Q18" s="19">
        <v>500000.0</v>
      </c>
      <c r="R18" s="19">
        <v>787.0</v>
      </c>
      <c r="S18" s="19">
        <v>415.0</v>
      </c>
      <c r="T18" s="18">
        <f t="shared" si="2"/>
        <v>601</v>
      </c>
      <c r="U18" s="19">
        <f t="shared" ref="U18:W18" si="21">R18*2.471</f>
        <v>1944.677</v>
      </c>
      <c r="V18" s="19">
        <f t="shared" si="21"/>
        <v>1025.465</v>
      </c>
      <c r="W18" s="19">
        <f t="shared" si="21"/>
        <v>1485.071</v>
      </c>
      <c r="X18" s="18">
        <f t="shared" si="17"/>
        <v>4025.6986</v>
      </c>
      <c r="Y18" s="19">
        <v>374.0</v>
      </c>
      <c r="Z18" s="19">
        <v>1000.0</v>
      </c>
      <c r="AA18" s="19">
        <v>5.74</v>
      </c>
      <c r="AB18" s="19">
        <v>2.28</v>
      </c>
      <c r="AC18" s="19">
        <v>2.61</v>
      </c>
      <c r="AD18" s="18">
        <f t="shared" si="4"/>
        <v>210.8876</v>
      </c>
      <c r="AE18" s="18">
        <f t="shared" si="5"/>
        <v>89.7636</v>
      </c>
      <c r="AF18" s="19">
        <v>74.0</v>
      </c>
      <c r="AG18" s="18">
        <f t="shared" si="6"/>
        <v>1.456626964</v>
      </c>
      <c r="AH18" s="19" t="s">
        <v>69</v>
      </c>
      <c r="AI18" s="19" t="s">
        <v>70</v>
      </c>
      <c r="AJ18" s="19" t="s">
        <v>71</v>
      </c>
    </row>
    <row r="19">
      <c r="A19" s="17">
        <v>1991.0</v>
      </c>
      <c r="B19" s="18">
        <v>362.0</v>
      </c>
      <c r="C19" s="18">
        <v>20.0</v>
      </c>
      <c r="D19" s="18">
        <v>350.0</v>
      </c>
      <c r="E19" s="18"/>
      <c r="F19" s="18">
        <v>600.0</v>
      </c>
      <c r="G19" s="18">
        <v>100.0</v>
      </c>
      <c r="H19" s="18">
        <v>7.0</v>
      </c>
      <c r="I19" s="18">
        <v>3.0</v>
      </c>
      <c r="J19" s="18">
        <v>3.5</v>
      </c>
      <c r="K19" s="18">
        <v>0.55</v>
      </c>
      <c r="L19" s="18">
        <v>0.6</v>
      </c>
      <c r="M19" s="18">
        <v>3.5</v>
      </c>
      <c r="N19" s="18">
        <v>500.0</v>
      </c>
      <c r="O19" s="18">
        <v>1166.7</v>
      </c>
      <c r="P19" s="18">
        <v>1000.0</v>
      </c>
      <c r="Q19" s="18">
        <v>636363.6</v>
      </c>
      <c r="R19" s="18">
        <v>769.0</v>
      </c>
      <c r="S19" s="18">
        <v>413.0</v>
      </c>
      <c r="T19" s="18">
        <f t="shared" si="2"/>
        <v>591</v>
      </c>
      <c r="U19" s="19">
        <f t="shared" ref="U19:W19" si="22">R19*2.471</f>
        <v>1900.199</v>
      </c>
      <c r="V19" s="19">
        <f t="shared" si="22"/>
        <v>1020.523</v>
      </c>
      <c r="W19" s="19">
        <f t="shared" si="22"/>
        <v>1460.361</v>
      </c>
      <c r="X19" s="18">
        <f t="shared" si="17"/>
        <v>3627.4343</v>
      </c>
      <c r="Y19" s="18">
        <v>337.0</v>
      </c>
      <c r="Z19" s="18">
        <v>975.0</v>
      </c>
      <c r="AA19" s="18">
        <v>5.58</v>
      </c>
      <c r="AB19" s="18">
        <v>2.37</v>
      </c>
      <c r="AC19" s="18">
        <v>3.0</v>
      </c>
      <c r="AD19" s="18">
        <f t="shared" si="4"/>
        <v>205.0092</v>
      </c>
      <c r="AE19" s="18">
        <f t="shared" si="5"/>
        <v>93.3069</v>
      </c>
      <c r="AF19" s="18">
        <v>72.0</v>
      </c>
      <c r="AG19" s="18">
        <f t="shared" si="6"/>
        <v>1.417258667</v>
      </c>
      <c r="AH19" s="18" t="s">
        <v>72</v>
      </c>
      <c r="AI19" s="18" t="s">
        <v>73</v>
      </c>
      <c r="AJ19" s="18" t="s">
        <v>74</v>
      </c>
    </row>
    <row r="20">
      <c r="A20" s="20">
        <v>1992.0</v>
      </c>
      <c r="B20" s="19">
        <v>344.0</v>
      </c>
      <c r="C20" s="19">
        <v>19.0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>
        <v>766.0</v>
      </c>
      <c r="S20" s="19">
        <v>413.0</v>
      </c>
      <c r="T20" s="18">
        <f t="shared" si="2"/>
        <v>589.5</v>
      </c>
      <c r="U20" s="19">
        <f t="shared" ref="U20:W20" si="23">R20*2.471</f>
        <v>1892.786</v>
      </c>
      <c r="V20" s="19">
        <f t="shared" si="23"/>
        <v>1020.523</v>
      </c>
      <c r="W20" s="19">
        <f t="shared" si="23"/>
        <v>1456.6545</v>
      </c>
      <c r="X20" s="18">
        <f t="shared" si="17"/>
        <v>3896.5318</v>
      </c>
      <c r="Y20" s="19">
        <v>362.0</v>
      </c>
      <c r="Z20" s="19">
        <v>975.0</v>
      </c>
      <c r="AA20" s="19">
        <v>5.56</v>
      </c>
      <c r="AB20" s="19">
        <v>2.07</v>
      </c>
      <c r="AC20" s="19">
        <v>3.24</v>
      </c>
      <c r="AD20" s="18">
        <f t="shared" si="4"/>
        <v>204.2744</v>
      </c>
      <c r="AE20" s="18">
        <f t="shared" si="5"/>
        <v>81.4959</v>
      </c>
      <c r="AF20" s="19">
        <v>71.0</v>
      </c>
      <c r="AG20" s="18">
        <f t="shared" si="6"/>
        <v>1.397574519</v>
      </c>
      <c r="AH20" s="19"/>
      <c r="AI20" s="19"/>
      <c r="AJ20" s="19"/>
    </row>
    <row r="21" ht="15.75" customHeight="1">
      <c r="A21" s="17">
        <v>1993.0</v>
      </c>
      <c r="B21" s="18">
        <v>360.0</v>
      </c>
      <c r="C21" s="18">
        <v>17.0</v>
      </c>
      <c r="D21" s="18">
        <v>500.0</v>
      </c>
      <c r="E21" s="18"/>
      <c r="F21" s="18">
        <v>800.0</v>
      </c>
      <c r="G21" s="18">
        <v>130.0</v>
      </c>
      <c r="H21" s="18">
        <v>7.8</v>
      </c>
      <c r="I21" s="18">
        <v>3.3</v>
      </c>
      <c r="J21" s="18">
        <v>3.8</v>
      </c>
      <c r="K21" s="18">
        <v>0.65</v>
      </c>
      <c r="L21" s="18">
        <v>0.6</v>
      </c>
      <c r="M21" s="18">
        <v>3.8</v>
      </c>
      <c r="N21" s="18">
        <v>641.0</v>
      </c>
      <c r="O21" s="18">
        <v>1515.2</v>
      </c>
      <c r="P21" s="18">
        <v>1315.8</v>
      </c>
      <c r="Q21" s="18">
        <v>769230.8</v>
      </c>
      <c r="R21" s="18">
        <v>804.0</v>
      </c>
      <c r="S21" s="18">
        <v>430.0</v>
      </c>
      <c r="T21" s="18">
        <f t="shared" si="2"/>
        <v>617</v>
      </c>
      <c r="U21" s="19">
        <f t="shared" ref="U21:W21" si="24">R21*2.471</f>
        <v>1986.684</v>
      </c>
      <c r="V21" s="19">
        <f t="shared" si="24"/>
        <v>1062.53</v>
      </c>
      <c r="W21" s="19">
        <f t="shared" si="24"/>
        <v>1524.607</v>
      </c>
      <c r="X21" s="18">
        <f t="shared" si="17"/>
        <v>3110.7671</v>
      </c>
      <c r="Y21" s="18">
        <v>289.0</v>
      </c>
      <c r="Z21" s="18">
        <v>1000.0</v>
      </c>
      <c r="AA21" s="18">
        <v>6.4</v>
      </c>
      <c r="AB21" s="18">
        <v>2.5</v>
      </c>
      <c r="AC21" s="18">
        <v>3.26</v>
      </c>
      <c r="AD21" s="18">
        <f t="shared" si="4"/>
        <v>235.136</v>
      </c>
      <c r="AE21" s="18">
        <f t="shared" si="5"/>
        <v>98.425</v>
      </c>
      <c r="AF21" s="18">
        <v>72.0</v>
      </c>
      <c r="AG21" s="18">
        <f t="shared" si="6"/>
        <v>1.417258667</v>
      </c>
      <c r="AH21" s="18" t="s">
        <v>75</v>
      </c>
      <c r="AI21" s="18" t="s">
        <v>76</v>
      </c>
      <c r="AJ21" s="18" t="s">
        <v>77</v>
      </c>
    </row>
    <row r="22" ht="15.75" customHeight="1">
      <c r="A22" s="20">
        <v>1994.0</v>
      </c>
      <c r="B22" s="19">
        <v>384.0</v>
      </c>
      <c r="C22" s="19">
        <v>18.0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>
        <v>851.0</v>
      </c>
      <c r="S22" s="19">
        <v>453.0</v>
      </c>
      <c r="T22" s="18">
        <f t="shared" si="2"/>
        <v>652</v>
      </c>
      <c r="U22" s="19">
        <f t="shared" ref="U22:W22" si="25">R22*2.471</f>
        <v>2102.821</v>
      </c>
      <c r="V22" s="19">
        <f t="shared" si="25"/>
        <v>1119.363</v>
      </c>
      <c r="W22" s="19">
        <f t="shared" si="25"/>
        <v>1611.092</v>
      </c>
      <c r="X22" s="18">
        <f t="shared" si="17"/>
        <v>3239.9339</v>
      </c>
      <c r="Y22" s="19">
        <v>301.0</v>
      </c>
      <c r="Z22" s="19">
        <v>1050.0</v>
      </c>
      <c r="AA22" s="19">
        <v>5.48</v>
      </c>
      <c r="AB22" s="19">
        <v>2.26</v>
      </c>
      <c r="AC22" s="19">
        <v>3.45</v>
      </c>
      <c r="AD22" s="18">
        <f t="shared" si="4"/>
        <v>201.3352</v>
      </c>
      <c r="AE22" s="18">
        <f t="shared" si="5"/>
        <v>88.9762</v>
      </c>
      <c r="AF22" s="19">
        <v>68.0</v>
      </c>
      <c r="AG22" s="18">
        <f t="shared" si="6"/>
        <v>1.338522075</v>
      </c>
      <c r="AH22" s="19"/>
      <c r="AI22" s="19"/>
      <c r="AJ22" s="19"/>
    </row>
    <row r="23" ht="15.75" customHeight="1">
      <c r="A23" s="17">
        <v>1995.0</v>
      </c>
      <c r="B23" s="18">
        <v>384.0</v>
      </c>
      <c r="C23" s="18">
        <v>17.0</v>
      </c>
      <c r="D23" s="18">
        <v>550.0</v>
      </c>
      <c r="E23" s="18"/>
      <c r="F23" s="18">
        <v>900.0</v>
      </c>
      <c r="G23" s="18">
        <v>140.0</v>
      </c>
      <c r="H23" s="18">
        <v>8.5</v>
      </c>
      <c r="I23" s="18">
        <v>3.5</v>
      </c>
      <c r="J23" s="18">
        <v>4.0</v>
      </c>
      <c r="K23" s="18">
        <v>0.7</v>
      </c>
      <c r="L23" s="18">
        <v>0.6</v>
      </c>
      <c r="M23" s="18">
        <v>3.9</v>
      </c>
      <c r="N23" s="18">
        <v>647.1</v>
      </c>
      <c r="O23" s="18">
        <v>1571.4</v>
      </c>
      <c r="P23" s="18">
        <v>1375.0</v>
      </c>
      <c r="Q23" s="18">
        <v>785714.3</v>
      </c>
      <c r="R23" s="18">
        <v>900.0</v>
      </c>
      <c r="S23" s="18">
        <v>480.0</v>
      </c>
      <c r="T23" s="18">
        <f t="shared" si="2"/>
        <v>690</v>
      </c>
      <c r="U23" s="19">
        <f t="shared" ref="U23:W23" si="26">R23*2.471</f>
        <v>2223.9</v>
      </c>
      <c r="V23" s="19">
        <f t="shared" si="26"/>
        <v>1186.08</v>
      </c>
      <c r="W23" s="19">
        <f t="shared" si="26"/>
        <v>1704.99</v>
      </c>
      <c r="X23" s="18">
        <f t="shared" si="17"/>
        <v>3164.5866</v>
      </c>
      <c r="Y23" s="18">
        <v>294.0</v>
      </c>
      <c r="Z23" s="18">
        <v>1100.0</v>
      </c>
      <c r="AA23" s="18">
        <v>6.72</v>
      </c>
      <c r="AB23" s="18">
        <v>3.24</v>
      </c>
      <c r="AC23" s="18">
        <v>4.55</v>
      </c>
      <c r="AD23" s="18">
        <f t="shared" si="4"/>
        <v>246.8928</v>
      </c>
      <c r="AE23" s="18">
        <f t="shared" si="5"/>
        <v>127.5588</v>
      </c>
      <c r="AF23" s="18">
        <v>64.0</v>
      </c>
      <c r="AG23" s="18">
        <f t="shared" si="6"/>
        <v>1.259785482</v>
      </c>
      <c r="AH23" s="18" t="s">
        <v>78</v>
      </c>
      <c r="AI23" s="18" t="s">
        <v>79</v>
      </c>
      <c r="AJ23" s="18" t="s">
        <v>77</v>
      </c>
    </row>
    <row r="24" ht="15.75" customHeight="1">
      <c r="A24" s="20">
        <v>1996.0</v>
      </c>
      <c r="B24" s="19">
        <v>388.0</v>
      </c>
      <c r="C24" s="19">
        <v>22.0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>
        <v>960.0</v>
      </c>
      <c r="S24" s="19">
        <v>511.0</v>
      </c>
      <c r="T24" s="18">
        <f t="shared" si="2"/>
        <v>735.5</v>
      </c>
      <c r="U24" s="19">
        <f t="shared" ref="U24:W24" si="27">R24*2.471</f>
        <v>2372.16</v>
      </c>
      <c r="V24" s="19">
        <f t="shared" si="27"/>
        <v>1262.681</v>
      </c>
      <c r="W24" s="19">
        <f t="shared" si="27"/>
        <v>1817.4205</v>
      </c>
      <c r="X24" s="18">
        <f t="shared" si="17"/>
        <v>3218.4061</v>
      </c>
      <c r="Y24" s="19">
        <v>299.0</v>
      </c>
      <c r="Z24" s="19">
        <v>1200.0</v>
      </c>
      <c r="AA24" s="19">
        <v>7.35</v>
      </c>
      <c r="AB24" s="19">
        <v>2.71</v>
      </c>
      <c r="AC24" s="19">
        <v>4.3</v>
      </c>
      <c r="AD24" s="18">
        <f t="shared" si="4"/>
        <v>270.039</v>
      </c>
      <c r="AE24" s="18">
        <f t="shared" si="5"/>
        <v>106.6927</v>
      </c>
      <c r="AF24" s="19">
        <v>62.0</v>
      </c>
      <c r="AG24" s="18">
        <f t="shared" si="6"/>
        <v>1.220417186</v>
      </c>
      <c r="AH24" s="19"/>
      <c r="AI24" s="19"/>
      <c r="AJ24" s="19"/>
    </row>
    <row r="25" ht="15.75" customHeight="1">
      <c r="A25" s="17">
        <v>1997.0</v>
      </c>
      <c r="B25" s="18">
        <v>331.0</v>
      </c>
      <c r="C25" s="18">
        <v>19.0</v>
      </c>
      <c r="D25" s="18">
        <v>700.0</v>
      </c>
      <c r="E25" s="18"/>
      <c r="F25" s="18">
        <v>1100.0</v>
      </c>
      <c r="G25" s="18">
        <v>160.0</v>
      </c>
      <c r="H25" s="18">
        <v>10.0</v>
      </c>
      <c r="I25" s="18">
        <v>4.0</v>
      </c>
      <c r="J25" s="18">
        <v>4.5</v>
      </c>
      <c r="K25" s="18">
        <v>0.75</v>
      </c>
      <c r="L25" s="18">
        <v>0.6</v>
      </c>
      <c r="M25" s="18">
        <v>4.4</v>
      </c>
      <c r="N25" s="18">
        <v>700.0</v>
      </c>
      <c r="O25" s="18">
        <v>1750.0</v>
      </c>
      <c r="P25" s="18">
        <v>1555.6</v>
      </c>
      <c r="Q25" s="18">
        <v>933333.3</v>
      </c>
      <c r="R25" s="18">
        <v>1074.0</v>
      </c>
      <c r="S25" s="18">
        <v>553.0</v>
      </c>
      <c r="T25" s="18">
        <f t="shared" si="2"/>
        <v>813.5</v>
      </c>
      <c r="U25" s="19">
        <f t="shared" ref="U25:W25" si="28">R25*2.471</f>
        <v>2653.854</v>
      </c>
      <c r="V25" s="19">
        <f t="shared" si="28"/>
        <v>1366.463</v>
      </c>
      <c r="W25" s="19">
        <f t="shared" si="28"/>
        <v>2010.1585</v>
      </c>
      <c r="X25" s="18">
        <f t="shared" si="17"/>
        <v>3659.726</v>
      </c>
      <c r="Y25" s="18">
        <v>340.0</v>
      </c>
      <c r="Z25" s="18">
        <v>1300.0</v>
      </c>
      <c r="AA25" s="18">
        <v>6.47</v>
      </c>
      <c r="AB25" s="18">
        <v>2.43</v>
      </c>
      <c r="AC25" s="18">
        <v>3.38</v>
      </c>
      <c r="AD25" s="18">
        <f t="shared" si="4"/>
        <v>237.7078</v>
      </c>
      <c r="AE25" s="18">
        <f t="shared" si="5"/>
        <v>95.6691</v>
      </c>
      <c r="AF25" s="18">
        <v>66.0</v>
      </c>
      <c r="AG25" s="18">
        <f t="shared" si="6"/>
        <v>1.299153778</v>
      </c>
      <c r="AH25" s="18" t="s">
        <v>80</v>
      </c>
      <c r="AI25" s="18" t="s">
        <v>81</v>
      </c>
      <c r="AJ25" s="18" t="s">
        <v>77</v>
      </c>
    </row>
    <row r="26" ht="15.75" customHeight="1">
      <c r="A26" s="20">
        <v>1998.0</v>
      </c>
      <c r="B26" s="19">
        <v>294.0</v>
      </c>
      <c r="C26" s="19">
        <v>13.0</v>
      </c>
      <c r="D26" s="19">
        <v>800.0</v>
      </c>
      <c r="E26" s="19"/>
      <c r="F26" s="19">
        <v>1100.0</v>
      </c>
      <c r="G26" s="19">
        <v>165.0</v>
      </c>
      <c r="H26" s="19">
        <v>9.5</v>
      </c>
      <c r="I26" s="19">
        <v>3.8</v>
      </c>
      <c r="J26" s="19">
        <v>4.2</v>
      </c>
      <c r="K26" s="19">
        <v>0.72</v>
      </c>
      <c r="L26" s="19">
        <v>0.7</v>
      </c>
      <c r="M26" s="19">
        <v>4.8</v>
      </c>
      <c r="N26" s="19">
        <v>842.1</v>
      </c>
      <c r="O26" s="19">
        <v>2105.3</v>
      </c>
      <c r="P26" s="19">
        <v>1904.8</v>
      </c>
      <c r="Q26" s="19">
        <v>1111111.1</v>
      </c>
      <c r="R26" s="19">
        <v>1147.0</v>
      </c>
      <c r="S26" s="19">
        <v>585.0</v>
      </c>
      <c r="T26" s="18">
        <f t="shared" si="2"/>
        <v>866</v>
      </c>
      <c r="U26" s="19">
        <f t="shared" ref="U26:W26" si="29">R26*2.471</f>
        <v>2834.237</v>
      </c>
      <c r="V26" s="19">
        <f t="shared" si="29"/>
        <v>1445.535</v>
      </c>
      <c r="W26" s="19">
        <f t="shared" si="29"/>
        <v>2139.886</v>
      </c>
      <c r="X26" s="18">
        <f t="shared" si="17"/>
        <v>4154.8654</v>
      </c>
      <c r="Y26" s="19">
        <v>386.0</v>
      </c>
      <c r="Z26" s="19">
        <v>1450.0</v>
      </c>
      <c r="AA26" s="19">
        <v>4.93</v>
      </c>
      <c r="AB26" s="19">
        <v>1.94</v>
      </c>
      <c r="AC26" s="19">
        <v>2.65</v>
      </c>
      <c r="AD26" s="18">
        <f t="shared" si="4"/>
        <v>181.1282</v>
      </c>
      <c r="AE26" s="18">
        <f t="shared" si="5"/>
        <v>76.3778</v>
      </c>
      <c r="AF26" s="19">
        <v>61.0</v>
      </c>
      <c r="AG26" s="18">
        <f t="shared" si="6"/>
        <v>1.200733038</v>
      </c>
      <c r="AH26" s="19" t="s">
        <v>82</v>
      </c>
      <c r="AI26" s="19" t="s">
        <v>83</v>
      </c>
      <c r="AJ26" s="19" t="s">
        <v>77</v>
      </c>
    </row>
    <row r="27" ht="15.75" customHeight="1">
      <c r="A27" s="17">
        <v>1999.0</v>
      </c>
      <c r="B27" s="18">
        <v>279.0</v>
      </c>
      <c r="C27" s="18">
        <v>18.0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>
        <v>1170.0</v>
      </c>
      <c r="S27" s="18">
        <v>590.0</v>
      </c>
      <c r="T27" s="18">
        <f t="shared" si="2"/>
        <v>880</v>
      </c>
      <c r="U27" s="19">
        <f t="shared" ref="U27:W27" si="30">R27*2.471</f>
        <v>2891.07</v>
      </c>
      <c r="V27" s="19">
        <f t="shared" si="30"/>
        <v>1457.89</v>
      </c>
      <c r="W27" s="19">
        <f t="shared" si="30"/>
        <v>2174.48</v>
      </c>
      <c r="X27" s="18">
        <f t="shared" si="17"/>
        <v>4843.755</v>
      </c>
      <c r="Y27" s="18">
        <v>450.0</v>
      </c>
      <c r="Z27" s="18">
        <v>1600.0</v>
      </c>
      <c r="AA27" s="18">
        <v>4.63</v>
      </c>
      <c r="AB27" s="18">
        <v>1.82</v>
      </c>
      <c r="AC27" s="18">
        <v>2.48</v>
      </c>
      <c r="AD27" s="18">
        <f t="shared" si="4"/>
        <v>170.1062</v>
      </c>
      <c r="AE27" s="18">
        <f t="shared" si="5"/>
        <v>71.6534</v>
      </c>
      <c r="AF27" s="18">
        <v>65.0</v>
      </c>
      <c r="AG27" s="18">
        <f t="shared" si="6"/>
        <v>1.27946963</v>
      </c>
      <c r="AH27" s="18"/>
      <c r="AI27" s="18"/>
      <c r="AJ27" s="18"/>
    </row>
    <row r="28" ht="15.75" customHeight="1">
      <c r="A28" s="20">
        <v>2000.0</v>
      </c>
      <c r="B28" s="19">
        <v>279.0</v>
      </c>
      <c r="C28" s="19">
        <v>30.0</v>
      </c>
      <c r="D28" s="19">
        <v>750.0</v>
      </c>
      <c r="E28" s="19"/>
      <c r="F28" s="19">
        <v>900.0</v>
      </c>
      <c r="G28" s="19">
        <v>145.0</v>
      </c>
      <c r="H28" s="19">
        <v>8.5</v>
      </c>
      <c r="I28" s="19">
        <v>3.0</v>
      </c>
      <c r="J28" s="19">
        <v>3.8</v>
      </c>
      <c r="K28" s="19">
        <v>0.65</v>
      </c>
      <c r="L28" s="19">
        <v>0.8</v>
      </c>
      <c r="M28" s="19">
        <v>5.2</v>
      </c>
      <c r="N28" s="19">
        <v>882.4</v>
      </c>
      <c r="O28" s="19">
        <v>2500.0</v>
      </c>
      <c r="P28" s="19">
        <v>1973.7</v>
      </c>
      <c r="Q28" s="19">
        <v>1153846.2</v>
      </c>
      <c r="R28" s="19">
        <v>1192.0</v>
      </c>
      <c r="S28" s="19">
        <v>601.0</v>
      </c>
      <c r="T28" s="18">
        <f t="shared" si="2"/>
        <v>896.5</v>
      </c>
      <c r="U28" s="19">
        <f t="shared" ref="U28:W28" si="31">R28*2.471</f>
        <v>2945.432</v>
      </c>
      <c r="V28" s="19">
        <f t="shared" si="31"/>
        <v>1485.071</v>
      </c>
      <c r="W28" s="19">
        <f t="shared" si="31"/>
        <v>2215.2515</v>
      </c>
      <c r="X28" s="18">
        <f t="shared" si="17"/>
        <v>5844.7977</v>
      </c>
      <c r="Y28" s="19">
        <v>543.0</v>
      </c>
      <c r="Z28" s="19">
        <v>1700.0</v>
      </c>
      <c r="AA28" s="19">
        <v>4.54</v>
      </c>
      <c r="AB28" s="19">
        <v>1.86</v>
      </c>
      <c r="AC28" s="19">
        <v>2.62</v>
      </c>
      <c r="AD28" s="18">
        <f t="shared" si="4"/>
        <v>166.7996</v>
      </c>
      <c r="AE28" s="18">
        <f t="shared" si="5"/>
        <v>73.2282</v>
      </c>
      <c r="AF28" s="19">
        <v>68.0</v>
      </c>
      <c r="AG28" s="18">
        <f t="shared" si="6"/>
        <v>1.338522075</v>
      </c>
      <c r="AH28" s="19" t="s">
        <v>84</v>
      </c>
      <c r="AI28" s="19" t="s">
        <v>85</v>
      </c>
      <c r="AJ28" s="19" t="s">
        <v>86</v>
      </c>
    </row>
    <row r="29" ht="15.75" customHeight="1">
      <c r="A29" s="17">
        <v>2001.0</v>
      </c>
      <c r="B29" s="18">
        <v>271.0</v>
      </c>
      <c r="C29" s="18">
        <v>26.0</v>
      </c>
      <c r="D29" s="18">
        <v>600.0</v>
      </c>
      <c r="E29" s="18"/>
      <c r="F29" s="18">
        <v>700.0</v>
      </c>
      <c r="G29" s="18">
        <v>110.0</v>
      </c>
      <c r="H29" s="18">
        <v>7.0</v>
      </c>
      <c r="I29" s="18">
        <v>2.5</v>
      </c>
      <c r="J29" s="18">
        <v>3.0</v>
      </c>
      <c r="K29" s="18">
        <v>0.55</v>
      </c>
      <c r="L29" s="18">
        <v>0.9</v>
      </c>
      <c r="M29" s="18">
        <v>5.5</v>
      </c>
      <c r="N29" s="18">
        <v>857.1</v>
      </c>
      <c r="O29" s="18">
        <v>2400.0</v>
      </c>
      <c r="P29" s="18">
        <v>2000.0</v>
      </c>
      <c r="Q29" s="18">
        <v>1090909.1</v>
      </c>
      <c r="R29" s="18">
        <v>1236.0</v>
      </c>
      <c r="S29" s="18">
        <v>630.0</v>
      </c>
      <c r="T29" s="18">
        <f t="shared" si="2"/>
        <v>933</v>
      </c>
      <c r="U29" s="19">
        <f t="shared" ref="U29:W29" si="32">R29*2.471</f>
        <v>3054.156</v>
      </c>
      <c r="V29" s="19">
        <f t="shared" si="32"/>
        <v>1556.73</v>
      </c>
      <c r="W29" s="19">
        <f t="shared" si="32"/>
        <v>2305.443</v>
      </c>
      <c r="X29" s="18">
        <f t="shared" si="17"/>
        <v>6716.6736</v>
      </c>
      <c r="Y29" s="18">
        <v>624.0</v>
      </c>
      <c r="Z29" s="18">
        <v>1900.0</v>
      </c>
      <c r="AA29" s="18">
        <v>4.3</v>
      </c>
      <c r="AB29" s="18">
        <v>1.97</v>
      </c>
      <c r="AC29" s="18">
        <v>2.78</v>
      </c>
      <c r="AD29" s="18">
        <f t="shared" si="4"/>
        <v>157.982</v>
      </c>
      <c r="AE29" s="18">
        <f t="shared" si="5"/>
        <v>77.5589</v>
      </c>
      <c r="AF29" s="18">
        <v>72.0</v>
      </c>
      <c r="AG29" s="18">
        <f t="shared" si="6"/>
        <v>1.417258667</v>
      </c>
      <c r="AH29" s="18" t="s">
        <v>87</v>
      </c>
      <c r="AI29" s="18" t="s">
        <v>88</v>
      </c>
      <c r="AJ29" s="18" t="s">
        <v>89</v>
      </c>
    </row>
    <row r="30" ht="15.75" customHeight="1">
      <c r="A30" s="20">
        <v>2002.0</v>
      </c>
      <c r="B30" s="19">
        <v>310.0</v>
      </c>
      <c r="C30" s="19">
        <v>26.0</v>
      </c>
      <c r="D30" s="19">
        <v>450.0</v>
      </c>
      <c r="E30" s="19"/>
      <c r="F30" s="19">
        <v>550.0</v>
      </c>
      <c r="G30" s="19">
        <v>90.0</v>
      </c>
      <c r="H30" s="19">
        <v>6.0</v>
      </c>
      <c r="I30" s="19">
        <v>2.0</v>
      </c>
      <c r="J30" s="19">
        <v>2.5</v>
      </c>
      <c r="K30" s="19">
        <v>0.42</v>
      </c>
      <c r="L30" s="19">
        <v>0.8</v>
      </c>
      <c r="M30" s="19">
        <v>5.0</v>
      </c>
      <c r="N30" s="19">
        <v>750.0</v>
      </c>
      <c r="O30" s="19">
        <v>2250.0</v>
      </c>
      <c r="P30" s="19">
        <v>1800.0</v>
      </c>
      <c r="Q30" s="19">
        <v>1071428.6</v>
      </c>
      <c r="R30" s="19">
        <v>1290.0</v>
      </c>
      <c r="S30" s="19">
        <v>658.0</v>
      </c>
      <c r="T30" s="18">
        <f t="shared" si="2"/>
        <v>974</v>
      </c>
      <c r="U30" s="19">
        <f t="shared" ref="U30:W30" si="33">R30*2.471</f>
        <v>3187.59</v>
      </c>
      <c r="V30" s="19">
        <f t="shared" si="33"/>
        <v>1625.918</v>
      </c>
      <c r="W30" s="19">
        <f t="shared" si="33"/>
        <v>2406.754</v>
      </c>
      <c r="X30" s="18">
        <f t="shared" si="17"/>
        <v>6792.0209</v>
      </c>
      <c r="Y30" s="19">
        <v>631.0</v>
      </c>
      <c r="Z30" s="19">
        <v>2100.0</v>
      </c>
      <c r="AA30" s="19">
        <v>5.53</v>
      </c>
      <c r="AB30" s="19">
        <v>2.32</v>
      </c>
      <c r="AC30" s="19">
        <v>3.56</v>
      </c>
      <c r="AD30" s="18">
        <f t="shared" si="4"/>
        <v>203.1722</v>
      </c>
      <c r="AE30" s="18">
        <f t="shared" si="5"/>
        <v>91.3384</v>
      </c>
      <c r="AF30" s="19">
        <v>67.0</v>
      </c>
      <c r="AG30" s="18">
        <f t="shared" si="6"/>
        <v>1.318837927</v>
      </c>
      <c r="AH30" s="19" t="s">
        <v>90</v>
      </c>
      <c r="AI30" s="19" t="s">
        <v>91</v>
      </c>
      <c r="AJ30" s="19" t="s">
        <v>92</v>
      </c>
    </row>
    <row r="31" ht="15.75" customHeight="1">
      <c r="A31" s="17">
        <v>2003.0</v>
      </c>
      <c r="B31" s="18">
        <v>364.0</v>
      </c>
      <c r="C31" s="18">
        <v>31.0</v>
      </c>
      <c r="D31" s="18">
        <v>600.0</v>
      </c>
      <c r="E31" s="18"/>
      <c r="F31" s="18">
        <v>650.0</v>
      </c>
      <c r="G31" s="18">
        <v>100.0</v>
      </c>
      <c r="H31" s="18">
        <v>9.0</v>
      </c>
      <c r="I31" s="18">
        <v>2.8</v>
      </c>
      <c r="J31" s="18">
        <v>3.5</v>
      </c>
      <c r="K31" s="18">
        <v>0.5</v>
      </c>
      <c r="L31" s="18">
        <v>0.9</v>
      </c>
      <c r="M31" s="18">
        <v>6.0</v>
      </c>
      <c r="N31" s="18">
        <v>666.7</v>
      </c>
      <c r="O31" s="18">
        <v>2142.9</v>
      </c>
      <c r="P31" s="18">
        <v>1714.3</v>
      </c>
      <c r="Q31" s="18">
        <v>1200000.0</v>
      </c>
      <c r="R31" s="18">
        <v>1378.0</v>
      </c>
      <c r="S31" s="18">
        <v>695.0</v>
      </c>
      <c r="T31" s="18">
        <f t="shared" si="2"/>
        <v>1036.5</v>
      </c>
      <c r="U31" s="19">
        <f t="shared" ref="U31:W31" si="34">R31*2.471</f>
        <v>3405.038</v>
      </c>
      <c r="V31" s="19">
        <f t="shared" si="34"/>
        <v>1717.345</v>
      </c>
      <c r="W31" s="19">
        <f t="shared" si="34"/>
        <v>2561.1915</v>
      </c>
      <c r="X31" s="18">
        <f t="shared" si="17"/>
        <v>7405.5632</v>
      </c>
      <c r="Y31" s="18">
        <v>688.0</v>
      </c>
      <c r="Z31" s="18">
        <v>2300.0</v>
      </c>
      <c r="AA31" s="18">
        <v>7.34</v>
      </c>
      <c r="AB31" s="18">
        <v>2.42</v>
      </c>
      <c r="AC31" s="18">
        <v>3.4</v>
      </c>
      <c r="AD31" s="18">
        <f t="shared" si="4"/>
        <v>269.6716</v>
      </c>
      <c r="AE31" s="18">
        <f t="shared" si="5"/>
        <v>95.2754</v>
      </c>
      <c r="AF31" s="18">
        <v>82.0</v>
      </c>
      <c r="AG31" s="18">
        <f t="shared" si="6"/>
        <v>1.614100149</v>
      </c>
      <c r="AH31" s="18" t="s">
        <v>93</v>
      </c>
      <c r="AI31" s="18" t="s">
        <v>94</v>
      </c>
      <c r="AJ31" s="18" t="s">
        <v>92</v>
      </c>
    </row>
    <row r="32" ht="15.75" customHeight="1">
      <c r="A32" s="20">
        <v>2004.0</v>
      </c>
      <c r="B32" s="19">
        <v>409.0</v>
      </c>
      <c r="C32" s="19">
        <v>41.0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>
        <v>1540.0</v>
      </c>
      <c r="S32" s="19">
        <v>757.0</v>
      </c>
      <c r="T32" s="18">
        <f t="shared" si="2"/>
        <v>1148.5</v>
      </c>
      <c r="U32" s="19">
        <f t="shared" ref="U32:W32" si="35">R32*2.471</f>
        <v>3805.34</v>
      </c>
      <c r="V32" s="19">
        <f t="shared" si="35"/>
        <v>1870.547</v>
      </c>
      <c r="W32" s="19">
        <f t="shared" si="35"/>
        <v>2837.9435</v>
      </c>
      <c r="X32" s="18">
        <f t="shared" si="17"/>
        <v>8374.3142</v>
      </c>
      <c r="Y32" s="19">
        <v>778.0</v>
      </c>
      <c r="Z32" s="19">
        <v>2500.0</v>
      </c>
      <c r="AA32" s="19">
        <v>5.74</v>
      </c>
      <c r="AB32" s="19">
        <v>2.06</v>
      </c>
      <c r="AC32" s="19">
        <v>3.4</v>
      </c>
      <c r="AD32" s="18">
        <f t="shared" si="4"/>
        <v>210.8876</v>
      </c>
      <c r="AE32" s="18">
        <f t="shared" si="5"/>
        <v>81.1022</v>
      </c>
      <c r="AF32" s="19">
        <v>84.0</v>
      </c>
      <c r="AG32" s="18">
        <f t="shared" si="6"/>
        <v>1.653468445</v>
      </c>
      <c r="AH32" s="19"/>
      <c r="AI32" s="19"/>
      <c r="AJ32" s="19"/>
    </row>
    <row r="33" ht="15.75" customHeight="1">
      <c r="A33" s="17">
        <v>2005.0</v>
      </c>
      <c r="B33" s="18">
        <v>445.0</v>
      </c>
      <c r="C33" s="18">
        <v>55.0</v>
      </c>
      <c r="D33" s="18">
        <v>900.0</v>
      </c>
      <c r="E33" s="18"/>
      <c r="F33" s="18">
        <v>900.0</v>
      </c>
      <c r="G33" s="18">
        <v>130.0</v>
      </c>
      <c r="H33" s="18">
        <v>11.5</v>
      </c>
      <c r="I33" s="18">
        <v>3.5</v>
      </c>
      <c r="J33" s="18">
        <v>4.2</v>
      </c>
      <c r="K33" s="18">
        <v>0.65</v>
      </c>
      <c r="L33" s="18">
        <v>1.0</v>
      </c>
      <c r="M33" s="18">
        <v>6.9</v>
      </c>
      <c r="N33" s="18">
        <v>782.6</v>
      </c>
      <c r="O33" s="18">
        <v>2571.4</v>
      </c>
      <c r="P33" s="18">
        <v>2142.9</v>
      </c>
      <c r="Q33" s="18">
        <v>1384615.4</v>
      </c>
      <c r="R33" s="18">
        <v>1737.0</v>
      </c>
      <c r="S33" s="18">
        <v>853.0</v>
      </c>
      <c r="T33" s="18">
        <f t="shared" si="2"/>
        <v>1295</v>
      </c>
      <c r="U33" s="19">
        <f t="shared" ref="U33:W33" si="36">R33*2.471</f>
        <v>4292.127</v>
      </c>
      <c r="V33" s="19">
        <f t="shared" si="36"/>
        <v>2107.763</v>
      </c>
      <c r="W33" s="19">
        <f t="shared" si="36"/>
        <v>3199.945</v>
      </c>
      <c r="X33" s="18">
        <f t="shared" si="17"/>
        <v>10344.1079</v>
      </c>
      <c r="Y33" s="18">
        <v>961.0</v>
      </c>
      <c r="Z33" s="18">
        <v>2700.0</v>
      </c>
      <c r="AA33" s="18">
        <v>5.66</v>
      </c>
      <c r="AB33" s="18">
        <v>2.0</v>
      </c>
      <c r="AC33" s="18">
        <v>3.42</v>
      </c>
      <c r="AD33" s="18">
        <f t="shared" si="4"/>
        <v>207.9484</v>
      </c>
      <c r="AE33" s="18">
        <f t="shared" si="5"/>
        <v>78.74</v>
      </c>
      <c r="AF33" s="18">
        <v>90.0</v>
      </c>
      <c r="AG33" s="18">
        <f t="shared" si="6"/>
        <v>1.771573334</v>
      </c>
      <c r="AH33" s="18" t="s">
        <v>95</v>
      </c>
      <c r="AI33" s="18" t="s">
        <v>96</v>
      </c>
      <c r="AJ33" s="18" t="s">
        <v>92</v>
      </c>
    </row>
    <row r="34" ht="15.75" customHeight="1">
      <c r="A34" s="20">
        <v>2006.0</v>
      </c>
      <c r="B34" s="19">
        <v>604.0</v>
      </c>
      <c r="C34" s="19">
        <v>66.0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>
        <v>2024.0</v>
      </c>
      <c r="S34" s="19">
        <v>972.0</v>
      </c>
      <c r="T34" s="18">
        <f t="shared" si="2"/>
        <v>1498</v>
      </c>
      <c r="U34" s="19">
        <f t="shared" ref="U34:W34" si="37">R34*2.471</f>
        <v>5001.304</v>
      </c>
      <c r="V34" s="19">
        <f t="shared" si="37"/>
        <v>2401.812</v>
      </c>
      <c r="W34" s="19">
        <f t="shared" si="37"/>
        <v>3701.558</v>
      </c>
      <c r="X34" s="18">
        <f t="shared" si="17"/>
        <v>11032.9975</v>
      </c>
      <c r="Y34" s="19">
        <v>1025.0</v>
      </c>
      <c r="Z34" s="19">
        <v>2900.0</v>
      </c>
      <c r="AA34" s="19">
        <v>6.43</v>
      </c>
      <c r="AB34" s="19">
        <v>3.04</v>
      </c>
      <c r="AC34" s="19">
        <v>4.26</v>
      </c>
      <c r="AD34" s="18">
        <f t="shared" si="4"/>
        <v>236.2382</v>
      </c>
      <c r="AE34" s="18">
        <f t="shared" si="5"/>
        <v>119.6848</v>
      </c>
      <c r="AF34" s="19">
        <v>86.0</v>
      </c>
      <c r="AG34" s="18">
        <f t="shared" si="6"/>
        <v>1.692836742</v>
      </c>
      <c r="AH34" s="19"/>
      <c r="AI34" s="19"/>
      <c r="AJ34" s="19"/>
    </row>
    <row r="35" ht="15.75" customHeight="1">
      <c r="A35" s="17">
        <v>2007.0</v>
      </c>
      <c r="B35" s="18">
        <v>695.0</v>
      </c>
      <c r="C35" s="18">
        <v>72.0</v>
      </c>
      <c r="D35" s="18">
        <v>1800.0</v>
      </c>
      <c r="E35" s="18">
        <v>8.0</v>
      </c>
      <c r="F35" s="18">
        <v>1400.0</v>
      </c>
      <c r="G35" s="18">
        <v>180.0</v>
      </c>
      <c r="H35" s="18">
        <v>17.5</v>
      </c>
      <c r="I35" s="18">
        <v>5.0</v>
      </c>
      <c r="J35" s="18">
        <v>6.5</v>
      </c>
      <c r="K35" s="18">
        <v>0.8</v>
      </c>
      <c r="L35" s="18">
        <v>1.3</v>
      </c>
      <c r="M35" s="18">
        <v>10.0</v>
      </c>
      <c r="N35" s="18">
        <v>1028.6</v>
      </c>
      <c r="O35" s="18">
        <v>3600.0</v>
      </c>
      <c r="P35" s="18">
        <v>2769.2</v>
      </c>
      <c r="Q35" s="18">
        <v>2250000.0</v>
      </c>
      <c r="R35" s="18">
        <v>2578.0</v>
      </c>
      <c r="S35" s="18">
        <v>1197.0</v>
      </c>
      <c r="T35" s="18">
        <f t="shared" si="2"/>
        <v>1887.5</v>
      </c>
      <c r="U35" s="19">
        <f t="shared" ref="U35:W35" si="38">R35*2.471</f>
        <v>6370.238</v>
      </c>
      <c r="V35" s="19">
        <f t="shared" si="38"/>
        <v>2957.787</v>
      </c>
      <c r="W35" s="19">
        <f t="shared" si="38"/>
        <v>4664.0125</v>
      </c>
      <c r="X35" s="18">
        <f t="shared" si="17"/>
        <v>11829.5261</v>
      </c>
      <c r="Y35" s="18">
        <v>1099.0</v>
      </c>
      <c r="Z35" s="18">
        <v>3100.0</v>
      </c>
      <c r="AA35" s="18">
        <v>10.1</v>
      </c>
      <c r="AB35" s="18">
        <v>4.2</v>
      </c>
      <c r="AC35" s="18">
        <v>6.48</v>
      </c>
      <c r="AD35" s="18">
        <f t="shared" si="4"/>
        <v>371.074</v>
      </c>
      <c r="AE35" s="18">
        <f t="shared" si="5"/>
        <v>165.354</v>
      </c>
      <c r="AF35" s="18">
        <v>91.0</v>
      </c>
      <c r="AG35" s="18">
        <f t="shared" si="6"/>
        <v>1.791257482</v>
      </c>
      <c r="AH35" s="18" t="s">
        <v>97</v>
      </c>
      <c r="AI35" s="18" t="s">
        <v>98</v>
      </c>
      <c r="AJ35" s="18" t="s">
        <v>99</v>
      </c>
    </row>
    <row r="36" ht="15.75" customHeight="1">
      <c r="A36" s="20">
        <v>2008.0</v>
      </c>
      <c r="B36" s="19">
        <v>872.0</v>
      </c>
      <c r="C36" s="19">
        <v>100.0</v>
      </c>
      <c r="D36" s="19">
        <v>2500.0</v>
      </c>
      <c r="E36" s="19">
        <v>10.0</v>
      </c>
      <c r="F36" s="19">
        <v>1700.0</v>
      </c>
      <c r="G36" s="19">
        <v>210.0</v>
      </c>
      <c r="H36" s="19">
        <v>22.0</v>
      </c>
      <c r="I36" s="19">
        <v>8.0</v>
      </c>
      <c r="J36" s="19">
        <v>9.0</v>
      </c>
      <c r="K36" s="19">
        <v>0.9</v>
      </c>
      <c r="L36" s="19">
        <v>1.5</v>
      </c>
      <c r="M36" s="19">
        <v>11.9</v>
      </c>
      <c r="N36" s="19">
        <v>1136.4</v>
      </c>
      <c r="O36" s="19">
        <v>3125.0</v>
      </c>
      <c r="P36" s="19">
        <v>2777.8</v>
      </c>
      <c r="Q36" s="19">
        <v>2777777.8</v>
      </c>
      <c r="R36" s="19">
        <v>3199.0</v>
      </c>
      <c r="S36" s="19">
        <v>1500.0</v>
      </c>
      <c r="T36" s="18">
        <f t="shared" si="2"/>
        <v>2349.5</v>
      </c>
      <c r="U36" s="19">
        <f t="shared" ref="U36:W36" si="39">R36*2.471</f>
        <v>7904.729</v>
      </c>
      <c r="V36" s="19">
        <f t="shared" si="39"/>
        <v>3706.5</v>
      </c>
      <c r="W36" s="19">
        <f t="shared" si="39"/>
        <v>5805.6145</v>
      </c>
      <c r="X36" s="18">
        <f t="shared" si="17"/>
        <v>13142.7219</v>
      </c>
      <c r="Y36" s="19">
        <v>1221.0</v>
      </c>
      <c r="Z36" s="19">
        <v>3400.0</v>
      </c>
      <c r="AA36" s="19">
        <v>10.11</v>
      </c>
      <c r="AB36" s="19">
        <v>4.06</v>
      </c>
      <c r="AC36" s="19">
        <v>6.78</v>
      </c>
      <c r="AD36" s="18">
        <f t="shared" si="4"/>
        <v>371.4414</v>
      </c>
      <c r="AE36" s="18">
        <f t="shared" si="5"/>
        <v>159.8422</v>
      </c>
      <c r="AF36" s="19">
        <v>101.0</v>
      </c>
      <c r="AG36" s="18">
        <f t="shared" si="6"/>
        <v>1.988098964</v>
      </c>
      <c r="AH36" s="19" t="s">
        <v>100</v>
      </c>
      <c r="AI36" s="19" t="s">
        <v>101</v>
      </c>
      <c r="AJ36" s="19" t="s">
        <v>102</v>
      </c>
    </row>
    <row r="37" ht="15.75" customHeight="1">
      <c r="A37" s="17">
        <v>2009.0</v>
      </c>
      <c r="B37" s="18">
        <v>972.0</v>
      </c>
      <c r="C37" s="18">
        <v>62.0</v>
      </c>
      <c r="D37" s="18">
        <v>2000.0</v>
      </c>
      <c r="E37" s="18">
        <v>9.0</v>
      </c>
      <c r="F37" s="18">
        <v>1600.0</v>
      </c>
      <c r="G37" s="18">
        <v>200.0</v>
      </c>
      <c r="H37" s="18">
        <v>14.0</v>
      </c>
      <c r="I37" s="18">
        <v>4.5</v>
      </c>
      <c r="J37" s="18">
        <v>5.5</v>
      </c>
      <c r="K37" s="18">
        <v>0.75</v>
      </c>
      <c r="L37" s="18">
        <v>1.2</v>
      </c>
      <c r="M37" s="18">
        <v>10.0</v>
      </c>
      <c r="N37" s="18">
        <v>1428.6</v>
      </c>
      <c r="O37" s="18">
        <v>4444.4</v>
      </c>
      <c r="P37" s="18">
        <v>3636.4</v>
      </c>
      <c r="Q37" s="18">
        <v>2666666.7</v>
      </c>
      <c r="R37" s="18">
        <v>3352.0</v>
      </c>
      <c r="S37" s="18">
        <v>1568.0</v>
      </c>
      <c r="T37" s="18">
        <f t="shared" si="2"/>
        <v>2460</v>
      </c>
      <c r="U37" s="19">
        <f t="shared" ref="U37:W37" si="40">R37*2.471</f>
        <v>8282.792</v>
      </c>
      <c r="V37" s="19">
        <f t="shared" si="40"/>
        <v>3874.528</v>
      </c>
      <c r="W37" s="19">
        <f t="shared" si="40"/>
        <v>6078.66</v>
      </c>
      <c r="X37" s="18">
        <f t="shared" si="17"/>
        <v>12001.7485</v>
      </c>
      <c r="Y37" s="18">
        <v>1115.0</v>
      </c>
      <c r="Z37" s="18">
        <v>3200.0</v>
      </c>
      <c r="AA37" s="18">
        <v>9.59</v>
      </c>
      <c r="AB37" s="18">
        <v>3.55</v>
      </c>
      <c r="AC37" s="18">
        <v>4.87</v>
      </c>
      <c r="AD37" s="18">
        <f t="shared" si="4"/>
        <v>352.3366</v>
      </c>
      <c r="AE37" s="18">
        <f t="shared" si="5"/>
        <v>139.7635</v>
      </c>
      <c r="AF37" s="18">
        <v>84.0</v>
      </c>
      <c r="AG37" s="18">
        <f t="shared" si="6"/>
        <v>1.653468445</v>
      </c>
      <c r="AH37" s="18" t="s">
        <v>103</v>
      </c>
      <c r="AI37" s="18" t="s">
        <v>104</v>
      </c>
      <c r="AJ37" s="18" t="s">
        <v>105</v>
      </c>
    </row>
    <row r="38" ht="15.75" customHeight="1">
      <c r="A38" s="20">
        <v>2010.0</v>
      </c>
      <c r="B38" s="19">
        <v>1225.0</v>
      </c>
      <c r="C38" s="19">
        <v>79.0</v>
      </c>
      <c r="D38" s="19">
        <v>2800.0</v>
      </c>
      <c r="E38" s="19">
        <v>11.0</v>
      </c>
      <c r="F38" s="19">
        <v>1800.0</v>
      </c>
      <c r="G38" s="19">
        <v>230.0</v>
      </c>
      <c r="H38" s="19">
        <v>19.5</v>
      </c>
      <c r="I38" s="19">
        <v>6.0</v>
      </c>
      <c r="J38" s="19">
        <v>6.8</v>
      </c>
      <c r="K38" s="19">
        <v>1.0</v>
      </c>
      <c r="L38" s="19">
        <v>1.6</v>
      </c>
      <c r="M38" s="19">
        <v>12.2</v>
      </c>
      <c r="N38" s="19">
        <v>1435.9</v>
      </c>
      <c r="O38" s="19">
        <v>4666.7</v>
      </c>
      <c r="P38" s="19">
        <v>4117.6</v>
      </c>
      <c r="Q38" s="19">
        <v>2800000.0</v>
      </c>
      <c r="R38" s="19">
        <v>3810.0</v>
      </c>
      <c r="S38" s="19">
        <v>1800.0</v>
      </c>
      <c r="T38" s="18">
        <f t="shared" si="2"/>
        <v>2805</v>
      </c>
      <c r="U38" s="19">
        <f t="shared" ref="U38:W38" si="41">R38*2.471</f>
        <v>9414.51</v>
      </c>
      <c r="V38" s="19">
        <f t="shared" si="41"/>
        <v>4447.8</v>
      </c>
      <c r="W38" s="19">
        <f t="shared" si="41"/>
        <v>6931.155</v>
      </c>
      <c r="X38" s="18">
        <f t="shared" si="17"/>
        <v>12550.7074</v>
      </c>
      <c r="Y38" s="19">
        <v>1166.0</v>
      </c>
      <c r="Z38" s="19">
        <v>3400.0</v>
      </c>
      <c r="AA38" s="19">
        <v>11.3</v>
      </c>
      <c r="AB38" s="19">
        <v>5.18</v>
      </c>
      <c r="AC38" s="19">
        <v>5.7</v>
      </c>
      <c r="AD38" s="18">
        <f t="shared" si="4"/>
        <v>415.162</v>
      </c>
      <c r="AE38" s="18">
        <f t="shared" si="5"/>
        <v>203.9366</v>
      </c>
      <c r="AF38" s="19">
        <v>94.0</v>
      </c>
      <c r="AG38" s="18">
        <f t="shared" si="6"/>
        <v>1.850309927</v>
      </c>
      <c r="AH38" s="19" t="s">
        <v>106</v>
      </c>
      <c r="AI38" s="19" t="s">
        <v>107</v>
      </c>
      <c r="AJ38" s="19" t="s">
        <v>108</v>
      </c>
    </row>
    <row r="39" ht="15.75" customHeight="1">
      <c r="A39" s="17">
        <v>2011.0</v>
      </c>
      <c r="B39" s="18">
        <v>1572.0</v>
      </c>
      <c r="C39" s="18">
        <v>95.0</v>
      </c>
      <c r="D39" s="18">
        <v>3500.0</v>
      </c>
      <c r="E39" s="18">
        <v>13.0</v>
      </c>
      <c r="F39" s="18">
        <v>2200.0</v>
      </c>
      <c r="G39" s="18">
        <v>280.0</v>
      </c>
      <c r="H39" s="18">
        <v>20.0</v>
      </c>
      <c r="I39" s="18">
        <v>6.2</v>
      </c>
      <c r="J39" s="18">
        <v>7.2</v>
      </c>
      <c r="K39" s="18">
        <v>1.1</v>
      </c>
      <c r="L39" s="18">
        <v>1.6</v>
      </c>
      <c r="M39" s="18">
        <v>12.5</v>
      </c>
      <c r="N39" s="18">
        <v>1750.0</v>
      </c>
      <c r="O39" s="18">
        <v>5645.2</v>
      </c>
      <c r="P39" s="18">
        <v>4861.1</v>
      </c>
      <c r="Q39" s="18">
        <v>3181818.2</v>
      </c>
      <c r="R39" s="18">
        <v>4690.0</v>
      </c>
      <c r="S39" s="18">
        <v>2200.0</v>
      </c>
      <c r="T39" s="18">
        <f t="shared" si="2"/>
        <v>3445</v>
      </c>
      <c r="U39" s="19">
        <f t="shared" ref="U39:W39" si="42">R39*2.471</f>
        <v>11588.99</v>
      </c>
      <c r="V39" s="19">
        <f t="shared" si="42"/>
        <v>5436.2</v>
      </c>
      <c r="W39" s="19">
        <f t="shared" si="42"/>
        <v>8512.595</v>
      </c>
      <c r="X39" s="18">
        <f t="shared" si="17"/>
        <v>12809.041</v>
      </c>
      <c r="Y39" s="18">
        <v>1190.0</v>
      </c>
      <c r="Z39" s="18">
        <v>3700.0</v>
      </c>
      <c r="AA39" s="18">
        <v>12.37</v>
      </c>
      <c r="AB39" s="18">
        <v>6.22</v>
      </c>
      <c r="AC39" s="18">
        <v>7.77</v>
      </c>
      <c r="AD39" s="18">
        <f t="shared" si="4"/>
        <v>454.4738</v>
      </c>
      <c r="AE39" s="18">
        <f t="shared" si="5"/>
        <v>244.8814</v>
      </c>
      <c r="AF39" s="18">
        <v>111.0</v>
      </c>
      <c r="AG39" s="18">
        <f t="shared" si="6"/>
        <v>2.184940446</v>
      </c>
      <c r="AH39" s="18" t="s">
        <v>109</v>
      </c>
      <c r="AI39" s="18" t="s">
        <v>110</v>
      </c>
      <c r="AJ39" s="18" t="s">
        <v>111</v>
      </c>
    </row>
    <row r="40" ht="15.75" customHeight="1">
      <c r="A40" s="20">
        <v>2012.0</v>
      </c>
      <c r="B40" s="19">
        <v>1669.0</v>
      </c>
      <c r="C40" s="19">
        <v>94.0</v>
      </c>
      <c r="D40" s="19">
        <v>3300.0</v>
      </c>
      <c r="E40" s="19">
        <v>12.0</v>
      </c>
      <c r="F40" s="19">
        <v>2100.0</v>
      </c>
      <c r="G40" s="19">
        <v>270.0</v>
      </c>
      <c r="H40" s="19">
        <v>18.5</v>
      </c>
      <c r="I40" s="19">
        <v>5.8</v>
      </c>
      <c r="J40" s="19">
        <v>7.0</v>
      </c>
      <c r="K40" s="19">
        <v>1.05</v>
      </c>
      <c r="L40" s="19">
        <v>1.6</v>
      </c>
      <c r="M40" s="19">
        <v>12.2</v>
      </c>
      <c r="N40" s="19">
        <v>1783.8</v>
      </c>
      <c r="O40" s="19">
        <v>5689.7</v>
      </c>
      <c r="P40" s="19">
        <v>4714.3</v>
      </c>
      <c r="Q40" s="19">
        <v>3142857.1</v>
      </c>
      <c r="R40" s="19">
        <v>5731.0</v>
      </c>
      <c r="S40" s="19">
        <v>2700.0</v>
      </c>
      <c r="T40" s="18">
        <f t="shared" si="2"/>
        <v>4215.5</v>
      </c>
      <c r="U40" s="19">
        <f t="shared" ref="U40:W40" si="43">R40*2.471</f>
        <v>14161.301</v>
      </c>
      <c r="V40" s="19">
        <f t="shared" si="43"/>
        <v>6671.7</v>
      </c>
      <c r="W40" s="19">
        <f t="shared" si="43"/>
        <v>10416.5005</v>
      </c>
      <c r="X40" s="18">
        <f t="shared" si="17"/>
        <v>13153.4858</v>
      </c>
      <c r="Y40" s="19">
        <v>1222.0</v>
      </c>
      <c r="Z40" s="19">
        <v>4000.0</v>
      </c>
      <c r="AA40" s="19">
        <v>14.4</v>
      </c>
      <c r="AB40" s="19">
        <v>6.89</v>
      </c>
      <c r="AC40" s="19">
        <v>7.77</v>
      </c>
      <c r="AD40" s="18">
        <f t="shared" si="4"/>
        <v>529.056</v>
      </c>
      <c r="AE40" s="18">
        <f t="shared" si="5"/>
        <v>271.2593</v>
      </c>
      <c r="AF40" s="19">
        <v>118.0</v>
      </c>
      <c r="AG40" s="18">
        <f t="shared" si="6"/>
        <v>2.322729483</v>
      </c>
      <c r="AH40" s="19" t="s">
        <v>112</v>
      </c>
      <c r="AI40" s="19" t="s">
        <v>113</v>
      </c>
      <c r="AJ40" s="19" t="s">
        <v>114</v>
      </c>
    </row>
    <row r="41" ht="15.75" customHeight="1">
      <c r="A41" s="17">
        <v>2013.0</v>
      </c>
      <c r="B41" s="18">
        <v>1411.0</v>
      </c>
      <c r="C41" s="18">
        <v>98.0</v>
      </c>
      <c r="D41" s="18">
        <v>3000.0</v>
      </c>
      <c r="E41" s="18">
        <v>11.0</v>
      </c>
      <c r="F41" s="18">
        <v>2000.0</v>
      </c>
      <c r="G41" s="18">
        <v>260.0</v>
      </c>
      <c r="H41" s="18">
        <v>17.0</v>
      </c>
      <c r="I41" s="18">
        <v>5.5</v>
      </c>
      <c r="J41" s="18">
        <v>6.5</v>
      </c>
      <c r="K41" s="18">
        <v>0.95</v>
      </c>
      <c r="L41" s="18">
        <v>1.5</v>
      </c>
      <c r="M41" s="18">
        <v>11.5</v>
      </c>
      <c r="N41" s="18">
        <v>1764.7</v>
      </c>
      <c r="O41" s="18">
        <v>5454.5</v>
      </c>
      <c r="P41" s="18">
        <v>4615.4</v>
      </c>
      <c r="Q41" s="18">
        <v>3157894.7</v>
      </c>
      <c r="R41" s="18">
        <v>7183.0</v>
      </c>
      <c r="S41" s="18">
        <v>3215.0</v>
      </c>
      <c r="T41" s="18">
        <f t="shared" si="2"/>
        <v>5199</v>
      </c>
      <c r="U41" s="19">
        <f t="shared" ref="U41:W41" si="44">R41*2.471</f>
        <v>17749.193</v>
      </c>
      <c r="V41" s="19">
        <f t="shared" si="44"/>
        <v>7944.265</v>
      </c>
      <c r="W41" s="19">
        <f t="shared" si="44"/>
        <v>12846.729</v>
      </c>
      <c r="X41" s="18">
        <f t="shared" si="17"/>
        <v>14176.0563</v>
      </c>
      <c r="Y41" s="18">
        <v>1317.0</v>
      </c>
      <c r="Z41" s="18">
        <v>4300.0</v>
      </c>
      <c r="AA41" s="18">
        <v>13.0</v>
      </c>
      <c r="AB41" s="18">
        <v>4.46</v>
      </c>
      <c r="AC41" s="18">
        <v>6.87</v>
      </c>
      <c r="AD41" s="18">
        <f t="shared" si="4"/>
        <v>477.62</v>
      </c>
      <c r="AE41" s="18">
        <f t="shared" si="5"/>
        <v>175.5902</v>
      </c>
      <c r="AF41" s="18">
        <v>126.0</v>
      </c>
      <c r="AG41" s="18">
        <f t="shared" si="6"/>
        <v>2.480202668</v>
      </c>
      <c r="AH41" s="18" t="s">
        <v>115</v>
      </c>
      <c r="AI41" s="18" t="s">
        <v>116</v>
      </c>
      <c r="AJ41" s="18" t="s">
        <v>117</v>
      </c>
    </row>
    <row r="42" ht="15.75" customHeight="1">
      <c r="A42" s="20">
        <v>2014.0</v>
      </c>
      <c r="B42" s="19">
        <v>1266.0</v>
      </c>
      <c r="C42" s="19">
        <v>93.0</v>
      </c>
      <c r="D42" s="19">
        <v>2600.0</v>
      </c>
      <c r="E42" s="19">
        <v>10.0</v>
      </c>
      <c r="F42" s="19">
        <v>1800.0</v>
      </c>
      <c r="G42" s="19">
        <v>240.0</v>
      </c>
      <c r="H42" s="19">
        <v>14.5</v>
      </c>
      <c r="I42" s="19">
        <v>4.8</v>
      </c>
      <c r="J42" s="19">
        <v>5.8</v>
      </c>
      <c r="K42" s="19">
        <v>0.9</v>
      </c>
      <c r="L42" s="19">
        <v>1.4</v>
      </c>
      <c r="M42" s="19">
        <v>10.8</v>
      </c>
      <c r="N42" s="19">
        <v>1793.1</v>
      </c>
      <c r="O42" s="19">
        <v>5416.7</v>
      </c>
      <c r="P42" s="19">
        <v>4482.8</v>
      </c>
      <c r="Q42" s="19">
        <v>2888888.9</v>
      </c>
      <c r="R42" s="19">
        <v>7939.0</v>
      </c>
      <c r="S42" s="19">
        <v>3530.0</v>
      </c>
      <c r="T42" s="18">
        <f t="shared" si="2"/>
        <v>5734.5</v>
      </c>
      <c r="U42" s="19">
        <f t="shared" ref="U42:W42" si="45">R42*2.471</f>
        <v>19617.269</v>
      </c>
      <c r="V42" s="19">
        <f t="shared" si="45"/>
        <v>8722.63</v>
      </c>
      <c r="W42" s="19">
        <f t="shared" si="45"/>
        <v>14169.9495</v>
      </c>
      <c r="X42" s="18">
        <f t="shared" si="17"/>
        <v>16867.0313</v>
      </c>
      <c r="Y42" s="19">
        <v>1567.0</v>
      </c>
      <c r="Z42" s="19">
        <v>4700.0</v>
      </c>
      <c r="AA42" s="19">
        <v>10.1</v>
      </c>
      <c r="AB42" s="19">
        <v>3.7</v>
      </c>
      <c r="AC42" s="19">
        <v>5.99</v>
      </c>
      <c r="AD42" s="18">
        <f t="shared" si="4"/>
        <v>371.074</v>
      </c>
      <c r="AE42" s="18">
        <f t="shared" si="5"/>
        <v>145.669</v>
      </c>
      <c r="AF42" s="19">
        <v>148.0</v>
      </c>
      <c r="AG42" s="18">
        <f t="shared" si="6"/>
        <v>2.913253927</v>
      </c>
      <c r="AH42" s="19" t="s">
        <v>118</v>
      </c>
      <c r="AI42" s="19" t="s">
        <v>119</v>
      </c>
      <c r="AJ42" s="19" t="s">
        <v>120</v>
      </c>
    </row>
    <row r="43" ht="15.75" customHeight="1">
      <c r="A43" s="17">
        <v>2015.0</v>
      </c>
      <c r="B43" s="18">
        <v>1160.0</v>
      </c>
      <c r="C43" s="18">
        <v>49.0</v>
      </c>
      <c r="D43" s="18">
        <v>2400.0</v>
      </c>
      <c r="E43" s="18">
        <v>9.0</v>
      </c>
      <c r="F43" s="18">
        <v>1700.0</v>
      </c>
      <c r="G43" s="18">
        <v>220.0</v>
      </c>
      <c r="H43" s="18">
        <v>12.5</v>
      </c>
      <c r="I43" s="18">
        <v>4.2</v>
      </c>
      <c r="J43" s="18">
        <v>5.5</v>
      </c>
      <c r="K43" s="18">
        <v>0.85</v>
      </c>
      <c r="L43" s="18">
        <v>1.4</v>
      </c>
      <c r="M43" s="18">
        <v>10.9</v>
      </c>
      <c r="N43" s="18">
        <v>1920.0</v>
      </c>
      <c r="O43" s="18">
        <v>5714.3</v>
      </c>
      <c r="P43" s="18">
        <v>4363.6</v>
      </c>
      <c r="Q43" s="18">
        <v>2823529.4</v>
      </c>
      <c r="R43" s="18">
        <v>7633.0</v>
      </c>
      <c r="S43" s="18">
        <v>3415.0</v>
      </c>
      <c r="T43" s="18">
        <f t="shared" si="2"/>
        <v>5524</v>
      </c>
      <c r="U43" s="19">
        <f t="shared" ref="U43:W43" si="46">R43*2.471</f>
        <v>18861.143</v>
      </c>
      <c r="V43" s="19">
        <f t="shared" si="46"/>
        <v>8438.465</v>
      </c>
      <c r="W43" s="19">
        <f t="shared" si="46"/>
        <v>13649.804</v>
      </c>
      <c r="X43" s="18">
        <f t="shared" si="17"/>
        <v>17900.3657</v>
      </c>
      <c r="Y43" s="18">
        <v>1663.0</v>
      </c>
      <c r="Z43" s="18">
        <v>5100.0</v>
      </c>
      <c r="AA43" s="18">
        <v>8.95</v>
      </c>
      <c r="AB43" s="18">
        <v>3.61</v>
      </c>
      <c r="AC43" s="18">
        <v>4.89</v>
      </c>
      <c r="AD43" s="18">
        <f t="shared" si="4"/>
        <v>328.823</v>
      </c>
      <c r="AE43" s="18">
        <f t="shared" si="5"/>
        <v>142.1257</v>
      </c>
      <c r="AF43" s="18">
        <v>148.0</v>
      </c>
      <c r="AG43" s="18">
        <f t="shared" si="6"/>
        <v>2.913253927</v>
      </c>
      <c r="AH43" s="18" t="s">
        <v>121</v>
      </c>
      <c r="AI43" s="18" t="s">
        <v>122</v>
      </c>
      <c r="AJ43" s="18" t="s">
        <v>123</v>
      </c>
    </row>
    <row r="44" ht="15.75" customHeight="1">
      <c r="A44" s="20">
        <v>2016.0</v>
      </c>
      <c r="B44" s="19">
        <v>1251.0</v>
      </c>
      <c r="C44" s="19">
        <v>43.0</v>
      </c>
      <c r="D44" s="19">
        <v>2500.0</v>
      </c>
      <c r="E44" s="19">
        <v>9.0</v>
      </c>
      <c r="F44" s="19">
        <v>1800.0</v>
      </c>
      <c r="G44" s="19">
        <v>230.0</v>
      </c>
      <c r="H44" s="19">
        <v>12.0</v>
      </c>
      <c r="I44" s="19">
        <v>4.0</v>
      </c>
      <c r="J44" s="19">
        <v>5.0</v>
      </c>
      <c r="K44" s="19">
        <v>0.88</v>
      </c>
      <c r="L44" s="19">
        <v>1.4</v>
      </c>
      <c r="M44" s="19">
        <v>10.9</v>
      </c>
      <c r="N44" s="19">
        <v>2083.3</v>
      </c>
      <c r="O44" s="19">
        <v>6250.0</v>
      </c>
      <c r="P44" s="19">
        <v>5000.0</v>
      </c>
      <c r="Q44" s="19">
        <v>2840909.1</v>
      </c>
      <c r="R44" s="19">
        <v>7183.0</v>
      </c>
      <c r="S44" s="19">
        <v>3233.0</v>
      </c>
      <c r="T44" s="18">
        <f t="shared" si="2"/>
        <v>5208</v>
      </c>
      <c r="U44" s="19">
        <f t="shared" ref="U44:W44" si="47">R44*2.471</f>
        <v>17749.193</v>
      </c>
      <c r="V44" s="19">
        <f t="shared" si="47"/>
        <v>7988.743</v>
      </c>
      <c r="W44" s="19">
        <f t="shared" si="47"/>
        <v>12868.968</v>
      </c>
      <c r="X44" s="18">
        <f t="shared" si="17"/>
        <v>18083.352</v>
      </c>
      <c r="Y44" s="19">
        <v>1680.0</v>
      </c>
      <c r="Z44" s="19">
        <v>5400.0</v>
      </c>
      <c r="AA44" s="19">
        <v>9.47</v>
      </c>
      <c r="AB44" s="19">
        <v>3.36</v>
      </c>
      <c r="AC44" s="19">
        <v>3.89</v>
      </c>
      <c r="AD44" s="18">
        <f t="shared" si="4"/>
        <v>347.9278</v>
      </c>
      <c r="AE44" s="18">
        <f t="shared" si="5"/>
        <v>132.2832</v>
      </c>
      <c r="AF44" s="19">
        <v>118.0</v>
      </c>
      <c r="AG44" s="18">
        <f t="shared" si="6"/>
        <v>2.322729483</v>
      </c>
      <c r="AH44" s="19" t="s">
        <v>124</v>
      </c>
      <c r="AI44" s="19" t="s">
        <v>125</v>
      </c>
      <c r="AJ44" s="19" t="s">
        <v>126</v>
      </c>
    </row>
    <row r="45" ht="15.75" customHeight="1">
      <c r="A45" s="17">
        <v>2017.0</v>
      </c>
      <c r="B45" s="18">
        <v>1257.0</v>
      </c>
      <c r="C45" s="18">
        <v>51.0</v>
      </c>
      <c r="D45" s="18">
        <v>2700.0</v>
      </c>
      <c r="E45" s="18">
        <v>10.0</v>
      </c>
      <c r="F45" s="18">
        <v>2100.0</v>
      </c>
      <c r="G45" s="18">
        <v>270.0</v>
      </c>
      <c r="H45" s="18">
        <v>13.5</v>
      </c>
      <c r="I45" s="18">
        <v>4.3</v>
      </c>
      <c r="J45" s="18">
        <v>5.5</v>
      </c>
      <c r="K45" s="18">
        <v>0.9</v>
      </c>
      <c r="L45" s="18">
        <v>1.3</v>
      </c>
      <c r="M45" s="18">
        <v>10.0</v>
      </c>
      <c r="N45" s="18">
        <v>2000.0</v>
      </c>
      <c r="O45" s="18">
        <v>6279.1</v>
      </c>
      <c r="P45" s="18">
        <v>4909.1</v>
      </c>
      <c r="Q45" s="18">
        <v>3000000.0</v>
      </c>
      <c r="R45" s="18">
        <v>7183.0</v>
      </c>
      <c r="S45" s="18">
        <v>3200.0</v>
      </c>
      <c r="T45" s="18">
        <f t="shared" si="2"/>
        <v>5191.5</v>
      </c>
      <c r="U45" s="19">
        <f t="shared" ref="U45:W45" si="48">R45*2.471</f>
        <v>17749.193</v>
      </c>
      <c r="V45" s="19">
        <f t="shared" si="48"/>
        <v>7907.2</v>
      </c>
      <c r="W45" s="19">
        <f t="shared" si="48"/>
        <v>12828.1965</v>
      </c>
      <c r="X45" s="18">
        <f t="shared" si="17"/>
        <v>18406.269</v>
      </c>
      <c r="Y45" s="18">
        <v>1710.0</v>
      </c>
      <c r="Z45" s="18">
        <v>5700.0</v>
      </c>
      <c r="AA45" s="18">
        <v>9.33</v>
      </c>
      <c r="AB45" s="18">
        <v>3.36</v>
      </c>
      <c r="AC45" s="18">
        <v>4.72</v>
      </c>
      <c r="AD45" s="18">
        <f t="shared" si="4"/>
        <v>342.7842</v>
      </c>
      <c r="AE45" s="18">
        <f t="shared" si="5"/>
        <v>132.2832</v>
      </c>
      <c r="AF45" s="18">
        <v>118.0</v>
      </c>
      <c r="AG45" s="18">
        <f t="shared" si="6"/>
        <v>2.322729483</v>
      </c>
      <c r="AH45" s="18" t="s">
        <v>127</v>
      </c>
      <c r="AI45" s="18" t="s">
        <v>128</v>
      </c>
      <c r="AJ45" s="18" t="s">
        <v>129</v>
      </c>
    </row>
    <row r="46" ht="15.75" customHeight="1">
      <c r="A46" s="20">
        <v>2018.0</v>
      </c>
      <c r="B46" s="19">
        <v>1268.0</v>
      </c>
      <c r="C46" s="19">
        <v>65.0</v>
      </c>
      <c r="D46" s="19">
        <v>2500.0</v>
      </c>
      <c r="E46" s="19">
        <v>9.0</v>
      </c>
      <c r="F46" s="19">
        <v>2300.0</v>
      </c>
      <c r="G46" s="19">
        <v>290.0</v>
      </c>
      <c r="H46" s="19">
        <v>11.5</v>
      </c>
      <c r="I46" s="19">
        <v>3.8</v>
      </c>
      <c r="J46" s="19">
        <v>5.0</v>
      </c>
      <c r="K46" s="19">
        <v>0.8</v>
      </c>
      <c r="L46" s="19">
        <v>1.1</v>
      </c>
      <c r="M46" s="19">
        <v>8.6</v>
      </c>
      <c r="N46" s="19">
        <v>2173.9</v>
      </c>
      <c r="O46" s="19">
        <v>6578.9</v>
      </c>
      <c r="P46" s="19">
        <v>5000.0</v>
      </c>
      <c r="Q46" s="19">
        <v>3125000.0</v>
      </c>
      <c r="R46" s="19">
        <v>7264.0</v>
      </c>
      <c r="S46" s="19">
        <v>3290.0</v>
      </c>
      <c r="T46" s="18">
        <f t="shared" si="2"/>
        <v>5277</v>
      </c>
      <c r="U46" s="19">
        <f t="shared" ref="U46:W46" si="49">R46*2.471</f>
        <v>17949.344</v>
      </c>
      <c r="V46" s="19">
        <f t="shared" si="49"/>
        <v>8129.59</v>
      </c>
      <c r="W46" s="19">
        <f t="shared" si="49"/>
        <v>13039.467</v>
      </c>
      <c r="X46" s="18">
        <f t="shared" si="17"/>
        <v>18513.908</v>
      </c>
      <c r="Y46" s="19">
        <v>1720.0</v>
      </c>
      <c r="Z46" s="19">
        <v>5900.0</v>
      </c>
      <c r="AA46" s="19">
        <v>8.48</v>
      </c>
      <c r="AB46" s="19">
        <v>3.61</v>
      </c>
      <c r="AC46" s="19">
        <v>5.16</v>
      </c>
      <c r="AD46" s="18">
        <f t="shared" si="4"/>
        <v>311.5552</v>
      </c>
      <c r="AE46" s="18">
        <f t="shared" si="5"/>
        <v>142.1257</v>
      </c>
      <c r="AF46" s="19">
        <v>116.0</v>
      </c>
      <c r="AG46" s="18">
        <f t="shared" si="6"/>
        <v>2.283361186</v>
      </c>
      <c r="AH46" s="19" t="s">
        <v>130</v>
      </c>
      <c r="AI46" s="19" t="s">
        <v>131</v>
      </c>
      <c r="AJ46" s="19" t="s">
        <v>132</v>
      </c>
    </row>
    <row r="47" ht="15.75" customHeight="1">
      <c r="A47" s="17">
        <v>2019.0</v>
      </c>
      <c r="B47" s="18">
        <v>1393.0</v>
      </c>
      <c r="C47" s="18">
        <v>57.0</v>
      </c>
      <c r="D47" s="18">
        <v>2200.0</v>
      </c>
      <c r="E47" s="18">
        <v>8.0</v>
      </c>
      <c r="F47" s="18">
        <v>2000.0</v>
      </c>
      <c r="G47" s="18">
        <v>250.0</v>
      </c>
      <c r="H47" s="18">
        <v>10.5</v>
      </c>
      <c r="I47" s="18">
        <v>3.5</v>
      </c>
      <c r="J47" s="18">
        <v>4.8</v>
      </c>
      <c r="K47" s="18">
        <v>0.75</v>
      </c>
      <c r="L47" s="18">
        <v>1.1</v>
      </c>
      <c r="M47" s="18">
        <v>8.8</v>
      </c>
      <c r="N47" s="18">
        <v>2095.2</v>
      </c>
      <c r="O47" s="18">
        <v>6285.7</v>
      </c>
      <c r="P47" s="18">
        <v>4583.3</v>
      </c>
      <c r="Q47" s="18">
        <v>2933333.3</v>
      </c>
      <c r="R47" s="18">
        <v>7264.0</v>
      </c>
      <c r="S47" s="18">
        <v>3326.0</v>
      </c>
      <c r="T47" s="18">
        <f t="shared" si="2"/>
        <v>5295</v>
      </c>
      <c r="U47" s="19">
        <f t="shared" ref="U47:W47" si="50">R47*2.471</f>
        <v>17949.344</v>
      </c>
      <c r="V47" s="19">
        <f t="shared" si="50"/>
        <v>8218.546</v>
      </c>
      <c r="W47" s="19">
        <f t="shared" si="50"/>
        <v>13083.945</v>
      </c>
      <c r="X47" s="18">
        <f t="shared" si="17"/>
        <v>18729.186</v>
      </c>
      <c r="Y47" s="18">
        <v>1740.0</v>
      </c>
      <c r="Z47" s="18">
        <v>6100.0</v>
      </c>
      <c r="AA47" s="18">
        <v>8.57</v>
      </c>
      <c r="AB47" s="18">
        <v>3.56</v>
      </c>
      <c r="AC47" s="18">
        <v>4.58</v>
      </c>
      <c r="AD47" s="18">
        <f t="shared" si="4"/>
        <v>314.8618</v>
      </c>
      <c r="AE47" s="18">
        <f t="shared" si="5"/>
        <v>140.1572</v>
      </c>
      <c r="AF47" s="18">
        <v>116.0</v>
      </c>
      <c r="AG47" s="18">
        <f t="shared" si="6"/>
        <v>2.283361186</v>
      </c>
      <c r="AH47" s="18" t="s">
        <v>133</v>
      </c>
      <c r="AI47" s="18" t="s">
        <v>134</v>
      </c>
      <c r="AJ47" s="18" t="s">
        <v>135</v>
      </c>
    </row>
    <row r="48" ht="15.75" customHeight="1">
      <c r="A48" s="20">
        <v>2020.0</v>
      </c>
      <c r="B48" s="19">
        <v>1770.0</v>
      </c>
      <c r="C48" s="19">
        <v>41.0</v>
      </c>
      <c r="D48" s="19">
        <v>2100.0</v>
      </c>
      <c r="E48" s="19">
        <v>9.0</v>
      </c>
      <c r="F48" s="19">
        <v>1700.0</v>
      </c>
      <c r="G48" s="19">
        <v>220.0</v>
      </c>
      <c r="H48" s="19">
        <v>14.5</v>
      </c>
      <c r="I48" s="19">
        <v>5.0</v>
      </c>
      <c r="J48" s="19">
        <v>6.0</v>
      </c>
      <c r="K48" s="19">
        <v>1.0</v>
      </c>
      <c r="L48" s="19">
        <v>1.2</v>
      </c>
      <c r="M48" s="19">
        <v>9.5</v>
      </c>
      <c r="N48" s="19">
        <v>1448.3</v>
      </c>
      <c r="O48" s="19">
        <v>4200.0</v>
      </c>
      <c r="P48" s="19">
        <v>3500.0</v>
      </c>
      <c r="Q48" s="19">
        <v>2100000.0</v>
      </c>
      <c r="R48" s="19">
        <v>7160.0</v>
      </c>
      <c r="S48" s="19">
        <v>3330.0</v>
      </c>
      <c r="T48" s="18">
        <f t="shared" si="2"/>
        <v>5245</v>
      </c>
      <c r="U48" s="19">
        <f t="shared" ref="U48:W48" si="51">R48*2.471</f>
        <v>17692.36</v>
      </c>
      <c r="V48" s="19">
        <f t="shared" si="51"/>
        <v>8228.43</v>
      </c>
      <c r="W48" s="19">
        <f t="shared" si="51"/>
        <v>12960.395</v>
      </c>
      <c r="X48" s="18">
        <f t="shared" si="17"/>
        <v>17437.518</v>
      </c>
      <c r="Y48" s="19">
        <v>1620.0</v>
      </c>
      <c r="Z48" s="19">
        <v>5800.0</v>
      </c>
      <c r="AA48" s="19">
        <v>10.8</v>
      </c>
      <c r="AB48" s="19">
        <v>4.53</v>
      </c>
      <c r="AC48" s="19">
        <v>5.05</v>
      </c>
      <c r="AD48" s="18">
        <f t="shared" si="4"/>
        <v>396.792</v>
      </c>
      <c r="AE48" s="18">
        <f t="shared" si="5"/>
        <v>178.3461</v>
      </c>
      <c r="AF48" s="19">
        <v>110.0</v>
      </c>
      <c r="AG48" s="18">
        <f t="shared" si="6"/>
        <v>2.165256297</v>
      </c>
      <c r="AH48" s="19" t="s">
        <v>136</v>
      </c>
      <c r="AI48" s="19" t="s">
        <v>137</v>
      </c>
      <c r="AJ48" s="19" t="s">
        <v>138</v>
      </c>
    </row>
    <row r="49" ht="15.75" customHeight="1">
      <c r="A49" s="17">
        <v>2021.0</v>
      </c>
      <c r="B49" s="18">
        <v>1799.0</v>
      </c>
      <c r="C49" s="18">
        <v>68.0</v>
      </c>
      <c r="D49" s="18">
        <v>2400.0</v>
      </c>
      <c r="E49" s="18">
        <v>11.0</v>
      </c>
      <c r="F49" s="18">
        <v>1700.0</v>
      </c>
      <c r="G49" s="18">
        <v>225.0</v>
      </c>
      <c r="H49" s="18">
        <v>17.0</v>
      </c>
      <c r="I49" s="18">
        <v>6.0</v>
      </c>
      <c r="J49" s="18">
        <v>7.0</v>
      </c>
      <c r="K49" s="18">
        <v>1.6</v>
      </c>
      <c r="L49" s="18">
        <v>1.4</v>
      </c>
      <c r="M49" s="18">
        <v>10.7</v>
      </c>
      <c r="N49" s="18">
        <v>1411.8</v>
      </c>
      <c r="O49" s="18">
        <v>4000.0</v>
      </c>
      <c r="P49" s="18">
        <v>3428.6</v>
      </c>
      <c r="Q49" s="18">
        <v>1500000.0</v>
      </c>
      <c r="R49" s="18">
        <v>7560.0</v>
      </c>
      <c r="S49" s="18">
        <v>3561.0</v>
      </c>
      <c r="T49" s="18">
        <f t="shared" si="2"/>
        <v>5560.5</v>
      </c>
      <c r="U49" s="19">
        <f t="shared" ref="U49:W49" si="52">R49*2.471</f>
        <v>18680.76</v>
      </c>
      <c r="V49" s="19">
        <f t="shared" si="52"/>
        <v>8799.231</v>
      </c>
      <c r="W49" s="19">
        <f t="shared" si="52"/>
        <v>13739.9955</v>
      </c>
      <c r="X49" s="18">
        <f t="shared" si="17"/>
        <v>18449.3246</v>
      </c>
      <c r="Y49" s="18">
        <v>1714.0</v>
      </c>
      <c r="Z49" s="18">
        <v>5900.0</v>
      </c>
      <c r="AA49" s="18">
        <v>13.3</v>
      </c>
      <c r="AB49" s="18">
        <v>5.45</v>
      </c>
      <c r="AC49" s="18">
        <v>7.77</v>
      </c>
      <c r="AD49" s="18">
        <f t="shared" si="4"/>
        <v>488.642</v>
      </c>
      <c r="AE49" s="18">
        <f t="shared" si="5"/>
        <v>214.5665</v>
      </c>
      <c r="AF49" s="18">
        <v>136.0</v>
      </c>
      <c r="AG49" s="18">
        <f t="shared" si="6"/>
        <v>2.67704415</v>
      </c>
      <c r="AH49" s="18" t="s">
        <v>139</v>
      </c>
      <c r="AI49" s="18" t="s">
        <v>140</v>
      </c>
      <c r="AJ49" s="18" t="s">
        <v>141</v>
      </c>
    </row>
    <row r="50" ht="15.75" customHeight="1">
      <c r="A50" s="20">
        <v>2022.0</v>
      </c>
      <c r="B50" s="19">
        <v>1800.0</v>
      </c>
      <c r="C50" s="19">
        <v>95.0</v>
      </c>
      <c r="D50" s="19">
        <v>2600.0</v>
      </c>
      <c r="E50" s="19">
        <v>12.0</v>
      </c>
      <c r="F50" s="19">
        <v>1750.0</v>
      </c>
      <c r="G50" s="19">
        <v>240.0</v>
      </c>
      <c r="H50" s="19">
        <v>19.0</v>
      </c>
      <c r="I50" s="19">
        <v>7.0</v>
      </c>
      <c r="J50" s="19">
        <v>8.5</v>
      </c>
      <c r="K50" s="19">
        <v>1.8</v>
      </c>
      <c r="L50" s="19">
        <v>1.5</v>
      </c>
      <c r="M50" s="19">
        <v>10.8</v>
      </c>
      <c r="N50" s="19">
        <v>1368.4</v>
      </c>
      <c r="O50" s="19">
        <v>3714.3</v>
      </c>
      <c r="P50" s="19">
        <v>3058.8</v>
      </c>
      <c r="Q50" s="19">
        <v>1444444.4</v>
      </c>
      <c r="R50" s="19">
        <v>9751.0</v>
      </c>
      <c r="S50" s="19">
        <v>4015.0</v>
      </c>
      <c r="T50" s="18">
        <f t="shared" si="2"/>
        <v>6883</v>
      </c>
      <c r="U50" s="19">
        <f t="shared" ref="U50:W50" si="53">R50*2.471</f>
        <v>24094.721</v>
      </c>
      <c r="V50" s="19">
        <f t="shared" si="53"/>
        <v>9921.065</v>
      </c>
      <c r="W50" s="19">
        <f t="shared" si="53"/>
        <v>17007.893</v>
      </c>
      <c r="X50" s="18">
        <f t="shared" si="17"/>
        <v>20451.41</v>
      </c>
      <c r="Y50" s="19">
        <v>1900.0</v>
      </c>
      <c r="Z50" s="19">
        <v>6600.0</v>
      </c>
      <c r="AA50" s="19">
        <v>14.2</v>
      </c>
      <c r="AB50" s="19">
        <v>6.54</v>
      </c>
      <c r="AC50" s="19">
        <v>9.15</v>
      </c>
      <c r="AD50" s="18">
        <f t="shared" si="4"/>
        <v>521.708</v>
      </c>
      <c r="AE50" s="18">
        <f t="shared" si="5"/>
        <v>257.4798</v>
      </c>
      <c r="AF50" s="19">
        <v>152.0</v>
      </c>
      <c r="AG50" s="18">
        <f t="shared" si="6"/>
        <v>2.99199052</v>
      </c>
      <c r="AH50" s="19" t="s">
        <v>142</v>
      </c>
      <c r="AI50" s="19" t="s">
        <v>143</v>
      </c>
      <c r="AJ50" s="19" t="s">
        <v>144</v>
      </c>
    </row>
    <row r="51" ht="15.75" customHeight="1">
      <c r="A51" s="17">
        <v>2023.0</v>
      </c>
      <c r="B51" s="18">
        <v>1941.0</v>
      </c>
      <c r="C51" s="18">
        <v>77.0</v>
      </c>
      <c r="D51" s="18">
        <v>2800.0</v>
      </c>
      <c r="E51" s="18">
        <v>11.0</v>
      </c>
      <c r="F51" s="18">
        <v>1800.0</v>
      </c>
      <c r="G51" s="18">
        <v>260.0</v>
      </c>
      <c r="H51" s="18">
        <v>14.0</v>
      </c>
      <c r="I51" s="18">
        <v>5.5</v>
      </c>
      <c r="J51" s="18">
        <v>7.0</v>
      </c>
      <c r="K51" s="18">
        <v>2.0</v>
      </c>
      <c r="L51" s="18">
        <v>1.6</v>
      </c>
      <c r="M51" s="18">
        <v>10.8</v>
      </c>
      <c r="N51" s="18">
        <v>2000.0</v>
      </c>
      <c r="O51" s="18">
        <v>5090.9</v>
      </c>
      <c r="P51" s="18">
        <v>4000.0</v>
      </c>
      <c r="Q51" s="18">
        <v>1400000.0</v>
      </c>
      <c r="R51" s="18">
        <v>11835.0</v>
      </c>
      <c r="S51" s="18">
        <v>4015.0</v>
      </c>
      <c r="T51" s="18">
        <f t="shared" si="2"/>
        <v>7925</v>
      </c>
      <c r="U51" s="19">
        <f t="shared" ref="U51:W51" si="54">R51*2.471</f>
        <v>29244.285</v>
      </c>
      <c r="V51" s="19">
        <f t="shared" si="54"/>
        <v>9921.065</v>
      </c>
      <c r="W51" s="19">
        <f t="shared" si="54"/>
        <v>19582.675</v>
      </c>
      <c r="X51" s="18">
        <f t="shared" si="17"/>
        <v>22065.995</v>
      </c>
      <c r="Y51" s="18">
        <v>2050.0</v>
      </c>
      <c r="Z51" s="18">
        <v>7000.0</v>
      </c>
      <c r="AA51" s="18">
        <v>12.55</v>
      </c>
      <c r="AB51" s="18">
        <v>4.75</v>
      </c>
      <c r="AC51" s="18">
        <v>6.43</v>
      </c>
      <c r="AD51" s="18">
        <f t="shared" si="4"/>
        <v>461.087</v>
      </c>
      <c r="AE51" s="18">
        <f t="shared" si="5"/>
        <v>187.0075</v>
      </c>
      <c r="AF51" s="18">
        <v>175.0</v>
      </c>
      <c r="AG51" s="18">
        <f t="shared" si="6"/>
        <v>3.444725928</v>
      </c>
      <c r="AH51" s="18" t="s">
        <v>145</v>
      </c>
      <c r="AI51" s="18" t="s">
        <v>146</v>
      </c>
      <c r="AJ51" s="18" t="s">
        <v>147</v>
      </c>
    </row>
    <row r="52" ht="15.75" customHeight="1">
      <c r="A52" s="20">
        <v>2024.0</v>
      </c>
      <c r="B52" s="19">
        <v>2200.0</v>
      </c>
      <c r="C52" s="19">
        <v>75.0</v>
      </c>
      <c r="D52" s="19">
        <v>4000.0</v>
      </c>
      <c r="E52" s="19">
        <v>12.0</v>
      </c>
      <c r="F52" s="19">
        <v>2200.0</v>
      </c>
      <c r="G52" s="19">
        <v>400.0</v>
      </c>
      <c r="H52" s="19">
        <v>16.5</v>
      </c>
      <c r="I52" s="19">
        <v>5.8</v>
      </c>
      <c r="J52" s="19">
        <v>7.5</v>
      </c>
      <c r="K52" s="19">
        <v>2.5</v>
      </c>
      <c r="L52" s="19">
        <v>1.8</v>
      </c>
      <c r="M52" s="19">
        <v>10.0</v>
      </c>
      <c r="N52" s="19">
        <v>2424.2</v>
      </c>
      <c r="O52" s="19">
        <v>6896.6</v>
      </c>
      <c r="P52" s="19">
        <v>5333.3</v>
      </c>
      <c r="Q52" s="19">
        <v>1600000.0</v>
      </c>
      <c r="R52" s="19">
        <v>13695.0</v>
      </c>
      <c r="S52" s="19">
        <v>4080.0</v>
      </c>
      <c r="T52" s="18">
        <f t="shared" si="2"/>
        <v>8887.5</v>
      </c>
      <c r="U52" s="19">
        <f t="shared" ref="U52:W52" si="55">R52*2.471</f>
        <v>33840.345</v>
      </c>
      <c r="V52" s="19">
        <f t="shared" si="55"/>
        <v>10081.68</v>
      </c>
      <c r="W52" s="19">
        <f t="shared" si="55"/>
        <v>21961.0125</v>
      </c>
      <c r="X52" s="18">
        <f t="shared" si="17"/>
        <v>22593.4261</v>
      </c>
      <c r="Y52" s="19">
        <v>2099.0</v>
      </c>
      <c r="Z52" s="19">
        <v>7500.0</v>
      </c>
      <c r="AA52" s="19">
        <v>11.55</v>
      </c>
      <c r="AB52" s="19">
        <v>4.4</v>
      </c>
      <c r="AC52" s="19">
        <v>5.5</v>
      </c>
      <c r="AD52" s="18">
        <f t="shared" si="4"/>
        <v>424.347</v>
      </c>
      <c r="AE52" s="18">
        <f t="shared" si="5"/>
        <v>173.228</v>
      </c>
      <c r="AF52" s="19">
        <v>193.0</v>
      </c>
      <c r="AG52" s="18">
        <f t="shared" si="6"/>
        <v>3.799040595</v>
      </c>
      <c r="AH52" s="19" t="s">
        <v>148</v>
      </c>
      <c r="AI52" s="19" t="s">
        <v>149</v>
      </c>
      <c r="AJ52" s="19" t="s">
        <v>150</v>
      </c>
    </row>
    <row r="53" ht="15.75" customHeight="1">
      <c r="A53" s="17">
        <v>2025.0</v>
      </c>
      <c r="B53" s="18"/>
      <c r="C53" s="18"/>
      <c r="D53" s="18">
        <v>5500.0</v>
      </c>
      <c r="E53" s="18">
        <v>13.0</v>
      </c>
      <c r="F53" s="18">
        <v>2500.0</v>
      </c>
      <c r="G53" s="18">
        <v>600.0</v>
      </c>
      <c r="H53" s="18">
        <v>17.5</v>
      </c>
      <c r="I53" s="18">
        <v>6.0</v>
      </c>
      <c r="J53" s="18">
        <v>7.8</v>
      </c>
      <c r="K53" s="18">
        <v>2.8</v>
      </c>
      <c r="L53" s="18">
        <v>2.2</v>
      </c>
      <c r="M53" s="18">
        <v>9.2</v>
      </c>
      <c r="N53" s="18">
        <v>3142.9</v>
      </c>
      <c r="O53" s="18">
        <v>9166.7</v>
      </c>
      <c r="P53" s="18">
        <v>7051.3</v>
      </c>
      <c r="Q53" s="18">
        <v>1964285.7</v>
      </c>
      <c r="R53" s="18">
        <v>7623.0</v>
      </c>
      <c r="S53" s="18">
        <v>3905.0</v>
      </c>
      <c r="T53" s="18">
        <f t="shared" si="2"/>
        <v>5764</v>
      </c>
      <c r="U53" s="19">
        <f t="shared" ref="U53:W53" si="56">R53*2.471</f>
        <v>18836.433</v>
      </c>
      <c r="V53" s="19">
        <f t="shared" si="56"/>
        <v>9649.255</v>
      </c>
      <c r="W53" s="19">
        <f t="shared" si="56"/>
        <v>14242.844</v>
      </c>
      <c r="X53" s="18">
        <f t="shared" si="17"/>
        <v>22593.4261</v>
      </c>
      <c r="Y53" s="18">
        <v>2099.0</v>
      </c>
      <c r="Z53" s="18">
        <v>7800.0</v>
      </c>
      <c r="AA53" s="18">
        <v>10.2</v>
      </c>
      <c r="AB53" s="18">
        <v>4.25</v>
      </c>
      <c r="AC53" s="18">
        <v>5.3</v>
      </c>
      <c r="AD53" s="18">
        <f t="shared" si="4"/>
        <v>374.748</v>
      </c>
      <c r="AE53" s="18">
        <f t="shared" si="5"/>
        <v>167.3225</v>
      </c>
      <c r="AF53" s="18">
        <v>245.0</v>
      </c>
      <c r="AG53" s="18">
        <f t="shared" si="6"/>
        <v>4.822616299</v>
      </c>
      <c r="AH53" s="18" t="s">
        <v>151</v>
      </c>
      <c r="AI53" s="18" t="s">
        <v>152</v>
      </c>
      <c r="AJ53" s="18" t="s">
        <v>153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X1:Z1"/>
    <mergeCell ref="AA1:AE1"/>
    <mergeCell ref="AF1:AG1"/>
    <mergeCell ref="AH1:AJ1"/>
    <mergeCell ref="B1:C1"/>
    <mergeCell ref="D1:E1"/>
    <mergeCell ref="F1:G1"/>
    <mergeCell ref="H1:J1"/>
    <mergeCell ref="L1:Q1"/>
    <mergeCell ref="R1:T1"/>
    <mergeCell ref="U1:W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43" width="22.0"/>
  </cols>
  <sheetData>
    <row r="1">
      <c r="A1" s="21" t="s">
        <v>154</v>
      </c>
    </row>
    <row r="2" ht="30.0" customHeight="1">
      <c r="A2" s="22" t="s">
        <v>0</v>
      </c>
      <c r="B2" s="22" t="s">
        <v>155</v>
      </c>
      <c r="C2" s="22" t="s">
        <v>156</v>
      </c>
      <c r="D2" s="22" t="s">
        <v>157</v>
      </c>
      <c r="E2" s="22" t="s">
        <v>158</v>
      </c>
      <c r="F2" s="22" t="s">
        <v>159</v>
      </c>
      <c r="G2" s="22" t="s">
        <v>160</v>
      </c>
      <c r="H2" s="22" t="s">
        <v>161</v>
      </c>
      <c r="I2" s="22" t="s">
        <v>162</v>
      </c>
      <c r="J2" s="22" t="s">
        <v>163</v>
      </c>
      <c r="K2" s="22" t="s">
        <v>164</v>
      </c>
      <c r="L2" s="22" t="s">
        <v>165</v>
      </c>
      <c r="M2" s="22" t="s">
        <v>166</v>
      </c>
      <c r="N2" s="22" t="s">
        <v>167</v>
      </c>
      <c r="O2" s="22" t="s">
        <v>168</v>
      </c>
      <c r="P2" s="22" t="s">
        <v>169</v>
      </c>
      <c r="Q2" s="22" t="s">
        <v>170</v>
      </c>
      <c r="R2" s="22" t="s">
        <v>171</v>
      </c>
      <c r="S2" s="22" t="s">
        <v>172</v>
      </c>
      <c r="T2" s="22" t="s">
        <v>173</v>
      </c>
      <c r="U2" s="22" t="s">
        <v>174</v>
      </c>
      <c r="V2" s="22" t="s">
        <v>175</v>
      </c>
      <c r="W2" s="22" t="s">
        <v>176</v>
      </c>
      <c r="X2" s="22" t="s">
        <v>177</v>
      </c>
      <c r="Y2" s="22" t="s">
        <v>178</v>
      </c>
      <c r="Z2" s="22" t="s">
        <v>179</v>
      </c>
      <c r="AA2" s="22" t="s">
        <v>180</v>
      </c>
      <c r="AB2" s="22" t="s">
        <v>181</v>
      </c>
      <c r="AC2" s="22" t="s">
        <v>182</v>
      </c>
      <c r="AD2" s="22" t="s">
        <v>183</v>
      </c>
      <c r="AE2" s="22" t="s">
        <v>184</v>
      </c>
      <c r="AF2" s="22" t="s">
        <v>185</v>
      </c>
      <c r="AG2" s="22" t="s">
        <v>186</v>
      </c>
      <c r="AH2" s="22" t="s">
        <v>187</v>
      </c>
      <c r="AI2" s="22" t="s">
        <v>188</v>
      </c>
      <c r="AJ2" s="22" t="s">
        <v>189</v>
      </c>
      <c r="AK2" s="22" t="s">
        <v>190</v>
      </c>
      <c r="AL2" s="22" t="s">
        <v>191</v>
      </c>
      <c r="AM2" s="22" t="s">
        <v>192</v>
      </c>
      <c r="AN2" s="22" t="s">
        <v>193</v>
      </c>
      <c r="AO2" s="22" t="s">
        <v>194</v>
      </c>
      <c r="AP2" s="22" t="s">
        <v>195</v>
      </c>
      <c r="AQ2" s="22" t="s">
        <v>196</v>
      </c>
    </row>
    <row r="3">
      <c r="A3" s="23">
        <v>1975.0</v>
      </c>
      <c r="B3" s="23">
        <v>161.0</v>
      </c>
      <c r="C3" s="23">
        <v>11.0</v>
      </c>
      <c r="D3" s="23">
        <v>160.0</v>
      </c>
      <c r="E3" s="23">
        <v>105.0</v>
      </c>
      <c r="F3" s="23">
        <v>135.0</v>
      </c>
      <c r="G3" s="23">
        <v>1.8</v>
      </c>
      <c r="H3" s="23">
        <v>800.0</v>
      </c>
      <c r="I3" s="23">
        <v>450.0</v>
      </c>
      <c r="J3" s="23">
        <v>250.0</v>
      </c>
      <c r="K3" s="23"/>
      <c r="L3" s="23">
        <v>300.0</v>
      </c>
      <c r="M3" s="23">
        <v>60.0</v>
      </c>
      <c r="N3" s="23">
        <v>5.5</v>
      </c>
      <c r="O3" s="23">
        <v>2.8</v>
      </c>
      <c r="P3" s="23">
        <v>3.2</v>
      </c>
      <c r="Q3" s="23">
        <v>0.55</v>
      </c>
      <c r="R3" s="23" t="s">
        <v>48</v>
      </c>
      <c r="S3" s="23" t="s">
        <v>49</v>
      </c>
      <c r="T3" s="23" t="s">
        <v>50</v>
      </c>
      <c r="U3" s="23">
        <v>0.83</v>
      </c>
      <c r="V3" s="23">
        <v>4.2</v>
      </c>
      <c r="W3" s="23">
        <v>45.5</v>
      </c>
      <c r="X3" s="23">
        <v>89.3</v>
      </c>
      <c r="Y3" s="23">
        <v>78.1</v>
      </c>
      <c r="Z3" s="23">
        <v>455.0</v>
      </c>
      <c r="AA3" s="23"/>
      <c r="AB3" s="23">
        <v>1025.0</v>
      </c>
      <c r="AC3" s="23">
        <v>425.0</v>
      </c>
      <c r="AD3" s="23">
        <v>725.0</v>
      </c>
      <c r="AE3" s="23">
        <v>1851.0</v>
      </c>
      <c r="AF3" s="23">
        <v>172.0</v>
      </c>
      <c r="AG3" s="23">
        <v>600.0</v>
      </c>
      <c r="AH3" s="23">
        <v>4.92</v>
      </c>
      <c r="AI3" s="23">
        <v>2.54</v>
      </c>
      <c r="AJ3" s="23">
        <v>3.55</v>
      </c>
      <c r="AK3" s="23">
        <v>42.0</v>
      </c>
      <c r="AL3" s="23">
        <v>0.9259</v>
      </c>
      <c r="AM3" s="23">
        <v>180.78</v>
      </c>
      <c r="AN3" s="23">
        <v>99.99</v>
      </c>
      <c r="AO3" s="23">
        <v>2533.0</v>
      </c>
      <c r="AP3" s="23">
        <v>1050.0</v>
      </c>
      <c r="AQ3" s="23">
        <v>1792.0</v>
      </c>
    </row>
    <row r="4">
      <c r="A4" s="19">
        <v>1976.0</v>
      </c>
      <c r="B4" s="19">
        <v>124.0</v>
      </c>
      <c r="C4" s="19">
        <v>13.0</v>
      </c>
      <c r="D4" s="19">
        <v>200.0</v>
      </c>
      <c r="E4" s="19">
        <v>118.0</v>
      </c>
      <c r="F4" s="19">
        <v>120.0</v>
      </c>
      <c r="G4" s="19">
        <v>1.9</v>
      </c>
      <c r="H4" s="19">
        <v>850.0</v>
      </c>
      <c r="I4" s="19">
        <v>480.0</v>
      </c>
      <c r="J4" s="19">
        <v>270.0</v>
      </c>
      <c r="K4" s="19"/>
      <c r="L4" s="19">
        <v>320.0</v>
      </c>
      <c r="M4" s="19">
        <v>65.0</v>
      </c>
      <c r="N4" s="19">
        <v>6.0</v>
      </c>
      <c r="O4" s="19">
        <v>3.0</v>
      </c>
      <c r="P4" s="19">
        <v>3.5</v>
      </c>
      <c r="Q4" s="19">
        <v>0.5</v>
      </c>
      <c r="R4" s="19" t="s">
        <v>51</v>
      </c>
      <c r="S4" s="19" t="s">
        <v>52</v>
      </c>
      <c r="T4" s="19" t="s">
        <v>53</v>
      </c>
      <c r="U4" s="19">
        <v>0.84</v>
      </c>
      <c r="V4" s="19">
        <v>4.2</v>
      </c>
      <c r="W4" s="19">
        <v>45.0</v>
      </c>
      <c r="X4" s="19">
        <v>90.0</v>
      </c>
      <c r="Y4" s="19">
        <v>77.1</v>
      </c>
      <c r="Z4" s="19">
        <v>540.0</v>
      </c>
      <c r="AA4" s="19"/>
      <c r="AB4" s="19">
        <v>1114.0</v>
      </c>
      <c r="AC4" s="19">
        <v>476.0</v>
      </c>
      <c r="AD4" s="19">
        <v>795.0</v>
      </c>
      <c r="AE4" s="19">
        <v>1970.0</v>
      </c>
      <c r="AF4" s="19">
        <v>183.0</v>
      </c>
      <c r="AG4" s="19">
        <v>625.0</v>
      </c>
      <c r="AH4" s="19">
        <v>5.08</v>
      </c>
      <c r="AI4" s="19">
        <v>2.15</v>
      </c>
      <c r="AJ4" s="19">
        <v>3.41</v>
      </c>
      <c r="AK4" s="19">
        <v>36.0</v>
      </c>
      <c r="AL4" s="19">
        <v>0.7937</v>
      </c>
      <c r="AM4" s="19">
        <v>186.66</v>
      </c>
      <c r="AN4" s="19">
        <v>84.64</v>
      </c>
      <c r="AO4" s="19">
        <v>2753.0</v>
      </c>
      <c r="AP4" s="19">
        <v>1176.0</v>
      </c>
      <c r="AQ4" s="19">
        <v>1964.0</v>
      </c>
    </row>
    <row r="5">
      <c r="A5" s="23">
        <v>1977.0</v>
      </c>
      <c r="B5" s="23">
        <v>148.0</v>
      </c>
      <c r="C5" s="23">
        <v>14.0</v>
      </c>
      <c r="D5" s="23">
        <v>220.0</v>
      </c>
      <c r="E5" s="23">
        <v>98.0</v>
      </c>
      <c r="F5" s="23">
        <v>93.0</v>
      </c>
      <c r="G5" s="23">
        <v>1.9</v>
      </c>
      <c r="H5" s="23">
        <v>900.0</v>
      </c>
      <c r="I5" s="23">
        <v>510.0</v>
      </c>
      <c r="J5" s="23">
        <v>290.0</v>
      </c>
      <c r="K5" s="23"/>
      <c r="L5" s="23">
        <v>350.0</v>
      </c>
      <c r="M5" s="23">
        <v>70.0</v>
      </c>
      <c r="N5" s="23">
        <v>6.25</v>
      </c>
      <c r="O5" s="23">
        <v>3.1</v>
      </c>
      <c r="P5" s="23">
        <v>3.65</v>
      </c>
      <c r="Q5" s="23">
        <v>0.53</v>
      </c>
      <c r="R5" s="23"/>
      <c r="S5" s="23"/>
      <c r="T5" s="23"/>
      <c r="U5" s="23">
        <v>0.83</v>
      </c>
      <c r="V5" s="23">
        <v>4.1</v>
      </c>
      <c r="W5" s="23">
        <v>46.4</v>
      </c>
      <c r="X5" s="23">
        <v>93.5</v>
      </c>
      <c r="Y5" s="23">
        <v>79.5</v>
      </c>
      <c r="Z5" s="23">
        <v>547.0</v>
      </c>
      <c r="AA5" s="23"/>
      <c r="AB5" s="23">
        <v>1205.0</v>
      </c>
      <c r="AC5" s="23">
        <v>520.0</v>
      </c>
      <c r="AD5" s="23">
        <v>862.5</v>
      </c>
      <c r="AE5" s="23">
        <v>2099.0</v>
      </c>
      <c r="AF5" s="23">
        <v>195.0</v>
      </c>
      <c r="AG5" s="23">
        <v>650.0</v>
      </c>
      <c r="AH5" s="23">
        <v>5.88</v>
      </c>
      <c r="AI5" s="23">
        <v>2.02</v>
      </c>
      <c r="AJ5" s="23">
        <v>2.33</v>
      </c>
      <c r="AK5" s="23">
        <v>37.0</v>
      </c>
      <c r="AL5" s="23">
        <v>0.8157</v>
      </c>
      <c r="AM5" s="23">
        <v>216.05</v>
      </c>
      <c r="AN5" s="23">
        <v>79.52</v>
      </c>
      <c r="AO5" s="23">
        <v>2978.0</v>
      </c>
      <c r="AP5" s="23">
        <v>1285.0</v>
      </c>
      <c r="AQ5" s="23">
        <v>2131.0</v>
      </c>
    </row>
    <row r="6">
      <c r="A6" s="19">
        <v>1978.0</v>
      </c>
      <c r="B6" s="19">
        <v>193.0</v>
      </c>
      <c r="C6" s="19">
        <v>15.0</v>
      </c>
      <c r="D6" s="19">
        <v>260.0</v>
      </c>
      <c r="E6" s="19">
        <v>106.0</v>
      </c>
      <c r="F6" s="19">
        <v>108.0</v>
      </c>
      <c r="G6" s="19">
        <v>2.2</v>
      </c>
      <c r="H6" s="19">
        <v>1000.0</v>
      </c>
      <c r="I6" s="19">
        <v>560.0</v>
      </c>
      <c r="J6" s="19">
        <v>310.0</v>
      </c>
      <c r="K6" s="19"/>
      <c r="L6" s="19">
        <v>380.0</v>
      </c>
      <c r="M6" s="19">
        <v>75.0</v>
      </c>
      <c r="N6" s="19">
        <v>6.5</v>
      </c>
      <c r="O6" s="19">
        <v>3.2</v>
      </c>
      <c r="P6" s="19">
        <v>3.8</v>
      </c>
      <c r="Q6" s="19">
        <v>0.55</v>
      </c>
      <c r="R6" s="19" t="s">
        <v>54</v>
      </c>
      <c r="S6" s="19" t="s">
        <v>55</v>
      </c>
      <c r="T6" s="19" t="s">
        <v>56</v>
      </c>
      <c r="U6" s="19">
        <v>0.82</v>
      </c>
      <c r="V6" s="19">
        <v>4.1</v>
      </c>
      <c r="W6" s="19">
        <v>47.7</v>
      </c>
      <c r="X6" s="19">
        <v>96.9</v>
      </c>
      <c r="Y6" s="19">
        <v>81.6</v>
      </c>
      <c r="Z6" s="19">
        <v>564.0</v>
      </c>
      <c r="AA6" s="19"/>
      <c r="AB6" s="19">
        <v>1410.0</v>
      </c>
      <c r="AC6" s="19">
        <v>617.0</v>
      </c>
      <c r="AD6" s="19">
        <v>1013.5</v>
      </c>
      <c r="AE6" s="19">
        <v>2239.0</v>
      </c>
      <c r="AF6" s="19">
        <v>208.0</v>
      </c>
      <c r="AG6" s="19">
        <v>700.0</v>
      </c>
      <c r="AH6" s="19">
        <v>6.66</v>
      </c>
      <c r="AI6" s="19">
        <v>2.25</v>
      </c>
      <c r="AJ6" s="19">
        <v>2.97</v>
      </c>
      <c r="AK6" s="19">
        <v>50.0</v>
      </c>
      <c r="AL6" s="19">
        <v>1.1023</v>
      </c>
      <c r="AM6" s="19">
        <v>244.72</v>
      </c>
      <c r="AN6" s="19">
        <v>88.58</v>
      </c>
      <c r="AO6" s="19">
        <v>3484.0</v>
      </c>
      <c r="AP6" s="19">
        <v>1525.0</v>
      </c>
      <c r="AQ6" s="19">
        <v>2504.0</v>
      </c>
    </row>
    <row r="7">
      <c r="A7" s="23">
        <v>1979.0</v>
      </c>
      <c r="B7" s="23">
        <v>306.0</v>
      </c>
      <c r="C7" s="23">
        <v>26.0</v>
      </c>
      <c r="D7" s="23">
        <v>260.0</v>
      </c>
      <c r="E7" s="23">
        <v>97.0</v>
      </c>
      <c r="F7" s="23">
        <v>137.0</v>
      </c>
      <c r="G7" s="23">
        <v>2.4</v>
      </c>
      <c r="H7" s="23">
        <v>1100.0</v>
      </c>
      <c r="I7" s="23">
        <v>640.0</v>
      </c>
      <c r="J7" s="23">
        <v>365.0</v>
      </c>
      <c r="K7" s="23"/>
      <c r="L7" s="23">
        <v>440.0</v>
      </c>
      <c r="M7" s="23">
        <v>82.5</v>
      </c>
      <c r="N7" s="23">
        <v>7.0</v>
      </c>
      <c r="O7" s="23">
        <v>3.35</v>
      </c>
      <c r="P7" s="23">
        <v>4.0</v>
      </c>
      <c r="Q7" s="23">
        <v>0.57</v>
      </c>
      <c r="R7" s="23"/>
      <c r="S7" s="23"/>
      <c r="T7" s="23"/>
      <c r="U7" s="23">
        <v>0.83</v>
      </c>
      <c r="V7" s="23">
        <v>4.4</v>
      </c>
      <c r="W7" s="23">
        <v>52.1</v>
      </c>
      <c r="X7" s="23">
        <v>109.0</v>
      </c>
      <c r="Y7" s="23">
        <v>91.2</v>
      </c>
      <c r="Z7" s="23">
        <v>640.0</v>
      </c>
      <c r="AA7" s="23"/>
      <c r="AB7" s="23">
        <v>1755.0</v>
      </c>
      <c r="AC7" s="23">
        <v>780.0</v>
      </c>
      <c r="AD7" s="23">
        <v>1267.5</v>
      </c>
      <c r="AE7" s="23">
        <v>2390.0</v>
      </c>
      <c r="AF7" s="23">
        <v>222.0</v>
      </c>
      <c r="AG7" s="23">
        <v>750.0</v>
      </c>
      <c r="AH7" s="23">
        <v>6.28</v>
      </c>
      <c r="AI7" s="23">
        <v>2.52</v>
      </c>
      <c r="AJ7" s="23">
        <v>3.78</v>
      </c>
      <c r="AK7" s="23">
        <v>64.0</v>
      </c>
      <c r="AL7" s="23">
        <v>1.411</v>
      </c>
      <c r="AM7" s="23">
        <v>230.75</v>
      </c>
      <c r="AN7" s="23">
        <v>99.21</v>
      </c>
      <c r="AO7" s="23">
        <v>4337.0</v>
      </c>
      <c r="AP7" s="23">
        <v>1927.0</v>
      </c>
      <c r="AQ7" s="23">
        <v>3132.0</v>
      </c>
    </row>
    <row r="8">
      <c r="A8" s="19">
        <v>1980.0</v>
      </c>
      <c r="B8" s="19">
        <v>613.0</v>
      </c>
      <c r="C8" s="19">
        <v>35.0</v>
      </c>
      <c r="D8" s="19">
        <v>255.0</v>
      </c>
      <c r="E8" s="19">
        <v>125.0</v>
      </c>
      <c r="F8" s="19">
        <v>160.0</v>
      </c>
      <c r="G8" s="19">
        <v>2.5</v>
      </c>
      <c r="H8" s="19">
        <v>1300.0</v>
      </c>
      <c r="I8" s="19">
        <v>720.0</v>
      </c>
      <c r="J8" s="19">
        <v>420.0</v>
      </c>
      <c r="K8" s="19"/>
      <c r="L8" s="19">
        <v>500.0</v>
      </c>
      <c r="M8" s="19">
        <v>90.0</v>
      </c>
      <c r="N8" s="19">
        <v>7.5</v>
      </c>
      <c r="O8" s="19">
        <v>3.5</v>
      </c>
      <c r="P8" s="19">
        <v>4.2</v>
      </c>
      <c r="Q8" s="19">
        <v>0.6</v>
      </c>
      <c r="R8" s="19" t="s">
        <v>57</v>
      </c>
      <c r="S8" s="19" t="s">
        <v>58</v>
      </c>
      <c r="T8" s="19" t="s">
        <v>59</v>
      </c>
      <c r="U8" s="19">
        <v>0.84</v>
      </c>
      <c r="V8" s="19">
        <v>4.7</v>
      </c>
      <c r="W8" s="19">
        <v>56.0</v>
      </c>
      <c r="X8" s="19">
        <v>120.0</v>
      </c>
      <c r="Y8" s="19">
        <v>100.0</v>
      </c>
      <c r="Z8" s="19">
        <v>700.0</v>
      </c>
      <c r="AA8" s="19"/>
      <c r="AB8" s="19">
        <v>2066.0</v>
      </c>
      <c r="AC8" s="19">
        <v>915.0</v>
      </c>
      <c r="AD8" s="19">
        <v>1490.5</v>
      </c>
      <c r="AE8" s="19">
        <v>2551.0</v>
      </c>
      <c r="AF8" s="19">
        <v>237.0</v>
      </c>
      <c r="AG8" s="19">
        <v>780.0</v>
      </c>
      <c r="AH8" s="19">
        <v>7.57</v>
      </c>
      <c r="AI8" s="19">
        <v>3.11</v>
      </c>
      <c r="AJ8" s="19">
        <v>3.91</v>
      </c>
      <c r="AK8" s="19">
        <v>61.0</v>
      </c>
      <c r="AL8" s="19">
        <v>1.3448</v>
      </c>
      <c r="AM8" s="19">
        <v>278.15</v>
      </c>
      <c r="AN8" s="19">
        <v>122.43</v>
      </c>
      <c r="AO8" s="19">
        <v>5105.0</v>
      </c>
      <c r="AP8" s="19">
        <v>2261.0</v>
      </c>
      <c r="AQ8" s="19">
        <v>3683.0</v>
      </c>
    </row>
    <row r="9">
      <c r="A9" s="23">
        <v>1981.0</v>
      </c>
      <c r="B9" s="23">
        <v>460.0</v>
      </c>
      <c r="C9" s="23">
        <v>34.0</v>
      </c>
      <c r="D9" s="23">
        <v>240.0</v>
      </c>
      <c r="E9" s="23">
        <v>117.0</v>
      </c>
      <c r="F9" s="23">
        <v>157.0</v>
      </c>
      <c r="G9" s="23">
        <v>2.5</v>
      </c>
      <c r="H9" s="23">
        <v>1500.0</v>
      </c>
      <c r="I9" s="23">
        <v>810.0</v>
      </c>
      <c r="J9" s="23">
        <v>335.0</v>
      </c>
      <c r="K9" s="23"/>
      <c r="L9" s="23">
        <v>440.0</v>
      </c>
      <c r="M9" s="23">
        <v>80.0</v>
      </c>
      <c r="N9" s="23">
        <v>6.65</v>
      </c>
      <c r="O9" s="23">
        <v>3.0</v>
      </c>
      <c r="P9" s="23">
        <v>3.6</v>
      </c>
      <c r="Q9" s="23">
        <v>0.53</v>
      </c>
      <c r="R9" s="23"/>
      <c r="S9" s="23"/>
      <c r="T9" s="23"/>
      <c r="U9" s="23">
        <v>0.76</v>
      </c>
      <c r="V9" s="23">
        <v>4.2</v>
      </c>
      <c r="W9" s="23">
        <v>50.4</v>
      </c>
      <c r="X9" s="23">
        <v>111.7</v>
      </c>
      <c r="Y9" s="23">
        <v>93.1</v>
      </c>
      <c r="Z9" s="23">
        <v>632.0</v>
      </c>
      <c r="AA9" s="23"/>
      <c r="AB9" s="23">
        <v>2147.0</v>
      </c>
      <c r="AC9" s="23">
        <v>980.0</v>
      </c>
      <c r="AD9" s="23">
        <v>1563.5</v>
      </c>
      <c r="AE9" s="23">
        <v>2713.0</v>
      </c>
      <c r="AF9" s="23">
        <v>252.0</v>
      </c>
      <c r="AG9" s="23">
        <v>820.0</v>
      </c>
      <c r="AH9" s="23">
        <v>6.67</v>
      </c>
      <c r="AI9" s="23">
        <v>2.5</v>
      </c>
      <c r="AJ9" s="23">
        <v>3.65</v>
      </c>
      <c r="AK9" s="23">
        <v>62.0</v>
      </c>
      <c r="AL9" s="23">
        <v>1.3669</v>
      </c>
      <c r="AM9" s="23">
        <v>245.08</v>
      </c>
      <c r="AN9" s="23">
        <v>98.42</v>
      </c>
      <c r="AO9" s="23">
        <v>5305.0</v>
      </c>
      <c r="AP9" s="23">
        <v>2422.0</v>
      </c>
      <c r="AQ9" s="23">
        <v>3863.0</v>
      </c>
    </row>
    <row r="10">
      <c r="A10" s="19">
        <v>1982.0</v>
      </c>
      <c r="B10" s="19">
        <v>376.0</v>
      </c>
      <c r="C10" s="19">
        <v>31.0</v>
      </c>
      <c r="D10" s="19">
        <v>210.0</v>
      </c>
      <c r="E10" s="19">
        <v>105.0</v>
      </c>
      <c r="F10" s="19">
        <v>165.0</v>
      </c>
      <c r="G10" s="19">
        <v>2.3</v>
      </c>
      <c r="H10" s="19">
        <v>1400.0</v>
      </c>
      <c r="I10" s="19">
        <v>850.0</v>
      </c>
      <c r="J10" s="19">
        <v>250.0</v>
      </c>
      <c r="K10" s="19"/>
      <c r="L10" s="19">
        <v>380.0</v>
      </c>
      <c r="M10" s="19">
        <v>70.0</v>
      </c>
      <c r="N10" s="19">
        <v>5.8</v>
      </c>
      <c r="O10" s="19">
        <v>2.5</v>
      </c>
      <c r="P10" s="19">
        <v>3.0</v>
      </c>
      <c r="Q10" s="19">
        <v>0.45</v>
      </c>
      <c r="R10" s="19" t="s">
        <v>60</v>
      </c>
      <c r="S10" s="19" t="s">
        <v>61</v>
      </c>
      <c r="T10" s="19" t="s">
        <v>62</v>
      </c>
      <c r="U10" s="19">
        <v>0.66</v>
      </c>
      <c r="V10" s="19">
        <v>3.6</v>
      </c>
      <c r="W10" s="19">
        <v>43.1</v>
      </c>
      <c r="X10" s="19">
        <v>100.0</v>
      </c>
      <c r="Y10" s="19">
        <v>83.3</v>
      </c>
      <c r="Z10" s="19">
        <v>556.0</v>
      </c>
      <c r="AA10" s="19"/>
      <c r="AB10" s="19">
        <v>1974.0</v>
      </c>
      <c r="AC10" s="19">
        <v>925.0</v>
      </c>
      <c r="AD10" s="19">
        <v>1449.5</v>
      </c>
      <c r="AE10" s="19">
        <v>2885.0</v>
      </c>
      <c r="AF10" s="19">
        <v>268.0</v>
      </c>
      <c r="AG10" s="19">
        <v>850.0</v>
      </c>
      <c r="AH10" s="19">
        <v>5.71</v>
      </c>
      <c r="AI10" s="19">
        <v>2.68</v>
      </c>
      <c r="AJ10" s="19">
        <v>3.55</v>
      </c>
      <c r="AK10" s="19">
        <v>59.0</v>
      </c>
      <c r="AL10" s="19">
        <v>1.3007</v>
      </c>
      <c r="AM10" s="19">
        <v>209.81</v>
      </c>
      <c r="AN10" s="19">
        <v>105.51</v>
      </c>
      <c r="AO10" s="19">
        <v>4878.0</v>
      </c>
      <c r="AP10" s="19">
        <v>2286.0</v>
      </c>
      <c r="AQ10" s="19">
        <v>3582.0</v>
      </c>
    </row>
    <row r="11">
      <c r="A11" s="23">
        <v>1983.0</v>
      </c>
      <c r="B11" s="23">
        <v>424.0</v>
      </c>
      <c r="C11" s="23">
        <v>29.0</v>
      </c>
      <c r="D11" s="23">
        <v>260.0</v>
      </c>
      <c r="E11" s="23">
        <v>130.0</v>
      </c>
      <c r="F11" s="23">
        <v>170.0</v>
      </c>
      <c r="G11" s="23">
        <v>2.4</v>
      </c>
      <c r="H11" s="23">
        <v>1500.0</v>
      </c>
      <c r="I11" s="23">
        <v>880.0</v>
      </c>
      <c r="J11" s="23">
        <v>260.0</v>
      </c>
      <c r="K11" s="23"/>
      <c r="L11" s="23">
        <v>403.33</v>
      </c>
      <c r="M11" s="23">
        <v>73.33</v>
      </c>
      <c r="N11" s="23">
        <v>6.03</v>
      </c>
      <c r="O11" s="23">
        <v>2.6</v>
      </c>
      <c r="P11" s="23">
        <v>3.1</v>
      </c>
      <c r="Q11" s="23">
        <v>0.46</v>
      </c>
      <c r="R11" s="23"/>
      <c r="S11" s="23"/>
      <c r="T11" s="23"/>
      <c r="U11" s="23">
        <v>0.64</v>
      </c>
      <c r="V11" s="23">
        <v>3.5</v>
      </c>
      <c r="W11" s="23">
        <v>43.1</v>
      </c>
      <c r="X11" s="23">
        <v>100.0</v>
      </c>
      <c r="Y11" s="23">
        <v>83.9</v>
      </c>
      <c r="Z11" s="23">
        <v>565.0</v>
      </c>
      <c r="AA11" s="23"/>
      <c r="AB11" s="23">
        <v>1679.0</v>
      </c>
      <c r="AC11" s="23">
        <v>807.0</v>
      </c>
      <c r="AD11" s="23">
        <v>1243.0</v>
      </c>
      <c r="AE11" s="23">
        <v>3068.0</v>
      </c>
      <c r="AF11" s="23">
        <v>285.0</v>
      </c>
      <c r="AG11" s="23">
        <v>875.0</v>
      </c>
      <c r="AH11" s="23">
        <v>7.83</v>
      </c>
      <c r="AI11" s="23">
        <v>3.2</v>
      </c>
      <c r="AJ11" s="23">
        <v>3.54</v>
      </c>
      <c r="AK11" s="23">
        <v>61.0</v>
      </c>
      <c r="AL11" s="23">
        <v>1.3448</v>
      </c>
      <c r="AM11" s="23">
        <v>287.71</v>
      </c>
      <c r="AN11" s="23">
        <v>125.98</v>
      </c>
      <c r="AO11" s="23">
        <v>4149.0</v>
      </c>
      <c r="AP11" s="23">
        <v>1994.0</v>
      </c>
      <c r="AQ11" s="23">
        <v>3072.0</v>
      </c>
    </row>
    <row r="12">
      <c r="A12" s="19">
        <v>1984.0</v>
      </c>
      <c r="B12" s="19">
        <v>361.0</v>
      </c>
      <c r="C12" s="19">
        <v>28.0</v>
      </c>
      <c r="D12" s="19">
        <v>220.0</v>
      </c>
      <c r="E12" s="19">
        <v>110.0</v>
      </c>
      <c r="F12" s="19">
        <v>159.0</v>
      </c>
      <c r="G12" s="19">
        <v>2.5</v>
      </c>
      <c r="H12" s="19">
        <v>1700.0</v>
      </c>
      <c r="I12" s="19">
        <v>930.0</v>
      </c>
      <c r="J12" s="19">
        <v>270.0</v>
      </c>
      <c r="K12" s="19"/>
      <c r="L12" s="19">
        <v>426.67</v>
      </c>
      <c r="M12" s="19">
        <v>76.67</v>
      </c>
      <c r="N12" s="19">
        <v>6.27</v>
      </c>
      <c r="O12" s="19">
        <v>2.7</v>
      </c>
      <c r="P12" s="19">
        <v>3.2</v>
      </c>
      <c r="Q12" s="19">
        <v>0.47</v>
      </c>
      <c r="R12" s="19"/>
      <c r="S12" s="19"/>
      <c r="T12" s="19"/>
      <c r="U12" s="19">
        <v>0.63</v>
      </c>
      <c r="V12" s="19">
        <v>3.5</v>
      </c>
      <c r="W12" s="19">
        <v>43.1</v>
      </c>
      <c r="X12" s="19">
        <v>100.0</v>
      </c>
      <c r="Y12" s="19">
        <v>84.4</v>
      </c>
      <c r="Z12" s="19">
        <v>574.0</v>
      </c>
      <c r="AA12" s="19"/>
      <c r="AB12" s="19">
        <v>1538.0</v>
      </c>
      <c r="AC12" s="19">
        <v>738.0</v>
      </c>
      <c r="AD12" s="19">
        <v>1138.0</v>
      </c>
      <c r="AE12" s="19">
        <v>3251.0</v>
      </c>
      <c r="AF12" s="19">
        <v>302.0</v>
      </c>
      <c r="AG12" s="19">
        <v>900.0</v>
      </c>
      <c r="AH12" s="19">
        <v>5.84</v>
      </c>
      <c r="AI12" s="19">
        <v>2.63</v>
      </c>
      <c r="AJ12" s="19">
        <v>3.39</v>
      </c>
      <c r="AK12" s="19">
        <v>64.0</v>
      </c>
      <c r="AL12" s="19">
        <v>1.411</v>
      </c>
      <c r="AM12" s="19">
        <v>214.58</v>
      </c>
      <c r="AN12" s="19">
        <v>103.54</v>
      </c>
      <c r="AO12" s="19">
        <v>3800.0</v>
      </c>
      <c r="AP12" s="19">
        <v>1824.0</v>
      </c>
      <c r="AQ12" s="19">
        <v>2812.0</v>
      </c>
    </row>
    <row r="13">
      <c r="A13" s="23">
        <v>1985.0</v>
      </c>
      <c r="B13" s="23">
        <v>317.0</v>
      </c>
      <c r="C13" s="23">
        <v>27.0</v>
      </c>
      <c r="D13" s="23">
        <v>198.0</v>
      </c>
      <c r="E13" s="23">
        <v>100.0</v>
      </c>
      <c r="F13" s="23">
        <v>144.0</v>
      </c>
      <c r="G13" s="23">
        <v>2.4</v>
      </c>
      <c r="H13" s="23">
        <v>1900.0</v>
      </c>
      <c r="I13" s="23">
        <v>980.0</v>
      </c>
      <c r="J13" s="23">
        <v>280.0</v>
      </c>
      <c r="K13" s="23"/>
      <c r="L13" s="23">
        <v>450.0</v>
      </c>
      <c r="M13" s="23">
        <v>80.0</v>
      </c>
      <c r="N13" s="23">
        <v>6.5</v>
      </c>
      <c r="O13" s="23">
        <v>2.8</v>
      </c>
      <c r="P13" s="23">
        <v>3.3</v>
      </c>
      <c r="Q13" s="23">
        <v>0.48</v>
      </c>
      <c r="R13" s="23" t="s">
        <v>63</v>
      </c>
      <c r="S13" s="23" t="s">
        <v>64</v>
      </c>
      <c r="T13" s="23" t="s">
        <v>65</v>
      </c>
      <c r="U13" s="23">
        <v>0.62</v>
      </c>
      <c r="V13" s="23">
        <v>3.5</v>
      </c>
      <c r="W13" s="23">
        <v>43.1</v>
      </c>
      <c r="X13" s="23">
        <v>100.0</v>
      </c>
      <c r="Y13" s="23">
        <v>84.8</v>
      </c>
      <c r="Z13" s="23">
        <v>583.0</v>
      </c>
      <c r="AA13" s="23"/>
      <c r="AB13" s="23">
        <v>1236.0</v>
      </c>
      <c r="AC13" s="23">
        <v>632.0</v>
      </c>
      <c r="AD13" s="23">
        <v>934.0</v>
      </c>
      <c r="AE13" s="23">
        <v>3391.0</v>
      </c>
      <c r="AF13" s="23">
        <v>315.0</v>
      </c>
      <c r="AG13" s="23">
        <v>925.0</v>
      </c>
      <c r="AH13" s="23">
        <v>5.05</v>
      </c>
      <c r="AI13" s="23">
        <v>2.23</v>
      </c>
      <c r="AJ13" s="23">
        <v>3.08</v>
      </c>
      <c r="AK13" s="23">
        <v>55.0</v>
      </c>
      <c r="AL13" s="23">
        <v>1.2125</v>
      </c>
      <c r="AM13" s="23">
        <v>185.56</v>
      </c>
      <c r="AN13" s="23">
        <v>87.79</v>
      </c>
      <c r="AO13" s="23">
        <v>3054.0</v>
      </c>
      <c r="AP13" s="23">
        <v>1562.0</v>
      </c>
      <c r="AQ13" s="23">
        <v>2308.0</v>
      </c>
    </row>
    <row r="14">
      <c r="A14" s="19">
        <v>1986.0</v>
      </c>
      <c r="B14" s="19">
        <v>368.0</v>
      </c>
      <c r="C14" s="19">
        <v>15.0</v>
      </c>
      <c r="D14" s="19">
        <v>175.0</v>
      </c>
      <c r="E14" s="19">
        <v>75.0</v>
      </c>
      <c r="F14" s="19">
        <v>110.0</v>
      </c>
      <c r="G14" s="19">
        <v>2.3</v>
      </c>
      <c r="H14" s="19">
        <v>2100.0</v>
      </c>
      <c r="I14" s="19">
        <v>1050.0</v>
      </c>
      <c r="J14" s="19">
        <v>270.0</v>
      </c>
      <c r="K14" s="19"/>
      <c r="L14" s="19">
        <v>435.0</v>
      </c>
      <c r="M14" s="19">
        <v>77.5</v>
      </c>
      <c r="N14" s="19">
        <v>6.25</v>
      </c>
      <c r="O14" s="19">
        <v>2.7</v>
      </c>
      <c r="P14" s="19">
        <v>3.2</v>
      </c>
      <c r="Q14" s="19">
        <v>0.46</v>
      </c>
      <c r="R14" s="19"/>
      <c r="S14" s="19"/>
      <c r="T14" s="19"/>
      <c r="U14" s="19">
        <v>0.62</v>
      </c>
      <c r="V14" s="19">
        <v>3.5</v>
      </c>
      <c r="W14" s="19">
        <v>43.2</v>
      </c>
      <c r="X14" s="19">
        <v>100.0</v>
      </c>
      <c r="Y14" s="19">
        <v>84.4</v>
      </c>
      <c r="Z14" s="19">
        <v>587.0</v>
      </c>
      <c r="AA14" s="19"/>
      <c r="AB14" s="19">
        <v>1020.0</v>
      </c>
      <c r="AC14" s="19">
        <v>515.0</v>
      </c>
      <c r="AD14" s="19">
        <v>767.5</v>
      </c>
      <c r="AE14" s="19">
        <v>3531.0</v>
      </c>
      <c r="AF14" s="19">
        <v>328.0</v>
      </c>
      <c r="AG14" s="19">
        <v>900.0</v>
      </c>
      <c r="AH14" s="19">
        <v>4.78</v>
      </c>
      <c r="AI14" s="19">
        <v>1.5</v>
      </c>
      <c r="AJ14" s="19">
        <v>2.42</v>
      </c>
      <c r="AK14" s="19">
        <v>52.0</v>
      </c>
      <c r="AL14" s="19">
        <v>1.1464</v>
      </c>
      <c r="AM14" s="19">
        <v>175.64</v>
      </c>
      <c r="AN14" s="19">
        <v>59.05</v>
      </c>
      <c r="AO14" s="19">
        <v>2520.0</v>
      </c>
      <c r="AP14" s="19">
        <v>1273.0</v>
      </c>
      <c r="AQ14" s="19">
        <v>1897.0</v>
      </c>
    </row>
    <row r="15">
      <c r="A15" s="23">
        <v>1987.0</v>
      </c>
      <c r="B15" s="23">
        <v>447.0</v>
      </c>
      <c r="C15" s="23">
        <v>19.0</v>
      </c>
      <c r="D15" s="23">
        <v>188.0</v>
      </c>
      <c r="E15" s="23">
        <v>78.0</v>
      </c>
      <c r="F15" s="23">
        <v>127.0</v>
      </c>
      <c r="G15" s="23">
        <v>2.4</v>
      </c>
      <c r="H15" s="23">
        <v>2400.0</v>
      </c>
      <c r="I15" s="23">
        <v>1200.0</v>
      </c>
      <c r="J15" s="23">
        <v>260.0</v>
      </c>
      <c r="K15" s="23"/>
      <c r="L15" s="23">
        <v>420.0</v>
      </c>
      <c r="M15" s="23">
        <v>75.0</v>
      </c>
      <c r="N15" s="23">
        <v>6.0</v>
      </c>
      <c r="O15" s="23">
        <v>2.6</v>
      </c>
      <c r="P15" s="23">
        <v>3.1</v>
      </c>
      <c r="Q15" s="23">
        <v>0.45</v>
      </c>
      <c r="R15" s="23" t="s">
        <v>66</v>
      </c>
      <c r="S15" s="23" t="s">
        <v>67</v>
      </c>
      <c r="T15" s="23" t="s">
        <v>68</v>
      </c>
      <c r="U15" s="23">
        <v>0.62</v>
      </c>
      <c r="V15" s="23">
        <v>3.5</v>
      </c>
      <c r="W15" s="23">
        <v>43.3</v>
      </c>
      <c r="X15" s="23">
        <v>100.0</v>
      </c>
      <c r="Y15" s="23">
        <v>83.9</v>
      </c>
      <c r="Z15" s="23">
        <v>578.0</v>
      </c>
      <c r="AA15" s="23"/>
      <c r="AB15" s="23">
        <v>924.0</v>
      </c>
      <c r="AC15" s="23">
        <v>462.0</v>
      </c>
      <c r="AD15" s="23">
        <v>693.0</v>
      </c>
      <c r="AE15" s="23">
        <v>3972.0</v>
      </c>
      <c r="AF15" s="23">
        <v>369.0</v>
      </c>
      <c r="AG15" s="23">
        <v>900.0</v>
      </c>
      <c r="AH15" s="23">
        <v>5.88</v>
      </c>
      <c r="AI15" s="23">
        <v>1.94</v>
      </c>
      <c r="AJ15" s="23">
        <v>2.57</v>
      </c>
      <c r="AK15" s="23">
        <v>64.0</v>
      </c>
      <c r="AL15" s="23">
        <v>1.411</v>
      </c>
      <c r="AM15" s="23">
        <v>216.05</v>
      </c>
      <c r="AN15" s="23">
        <v>76.37</v>
      </c>
      <c r="AO15" s="23">
        <v>2283.0</v>
      </c>
      <c r="AP15" s="23">
        <v>1142.0</v>
      </c>
      <c r="AQ15" s="23">
        <v>1712.0</v>
      </c>
    </row>
    <row r="16">
      <c r="A16" s="19">
        <v>1988.0</v>
      </c>
      <c r="B16" s="19">
        <v>437.0</v>
      </c>
      <c r="C16" s="19">
        <v>15.0</v>
      </c>
      <c r="D16" s="19">
        <v>258.0</v>
      </c>
      <c r="E16" s="19">
        <v>95.0</v>
      </c>
      <c r="F16" s="19">
        <v>160.0</v>
      </c>
      <c r="G16" s="19">
        <v>2.7</v>
      </c>
      <c r="H16" s="19">
        <v>2800.0</v>
      </c>
      <c r="I16" s="19">
        <v>1350.0</v>
      </c>
      <c r="J16" s="19">
        <v>240.0</v>
      </c>
      <c r="K16" s="19"/>
      <c r="L16" s="19">
        <v>413.33</v>
      </c>
      <c r="M16" s="19">
        <v>73.33</v>
      </c>
      <c r="N16" s="19">
        <v>5.83</v>
      </c>
      <c r="O16" s="19">
        <v>2.53</v>
      </c>
      <c r="P16" s="19">
        <v>3.03</v>
      </c>
      <c r="Q16" s="19">
        <v>0.43</v>
      </c>
      <c r="R16" s="19"/>
      <c r="S16" s="19"/>
      <c r="T16" s="19"/>
      <c r="U16" s="19">
        <v>0.58</v>
      </c>
      <c r="V16" s="19">
        <v>3.3</v>
      </c>
      <c r="W16" s="19">
        <v>41.2</v>
      </c>
      <c r="X16" s="19">
        <v>94.9</v>
      </c>
      <c r="Y16" s="19">
        <v>79.2</v>
      </c>
      <c r="Z16" s="19">
        <v>558.0</v>
      </c>
      <c r="AA16" s="19"/>
      <c r="AB16" s="19">
        <v>862.0</v>
      </c>
      <c r="AC16" s="19">
        <v>440.0</v>
      </c>
      <c r="AD16" s="19">
        <v>651.0</v>
      </c>
      <c r="AE16" s="19">
        <v>3961.0</v>
      </c>
      <c r="AF16" s="19">
        <v>368.0</v>
      </c>
      <c r="AG16" s="19">
        <v>925.0</v>
      </c>
      <c r="AH16" s="19">
        <v>7.4</v>
      </c>
      <c r="AI16" s="19">
        <v>2.54</v>
      </c>
      <c r="AJ16" s="19">
        <v>3.72</v>
      </c>
      <c r="AK16" s="19">
        <v>68.0</v>
      </c>
      <c r="AL16" s="19">
        <v>1.4992</v>
      </c>
      <c r="AM16" s="19">
        <v>271.91</v>
      </c>
      <c r="AN16" s="19">
        <v>99.99</v>
      </c>
      <c r="AO16" s="19">
        <v>2130.0</v>
      </c>
      <c r="AP16" s="19">
        <v>1087.0</v>
      </c>
      <c r="AQ16" s="19">
        <v>1609.0</v>
      </c>
    </row>
    <row r="17">
      <c r="A17" s="23">
        <v>1989.0</v>
      </c>
      <c r="B17" s="23">
        <v>381.0</v>
      </c>
      <c r="C17" s="23">
        <v>18.0</v>
      </c>
      <c r="D17" s="23">
        <v>234.0</v>
      </c>
      <c r="E17" s="23">
        <v>107.0</v>
      </c>
      <c r="F17" s="23">
        <v>190.0</v>
      </c>
      <c r="G17" s="23">
        <v>2.9</v>
      </c>
      <c r="H17" s="23">
        <v>3200.0</v>
      </c>
      <c r="I17" s="23">
        <v>1500.0</v>
      </c>
      <c r="J17" s="23">
        <v>220.0</v>
      </c>
      <c r="K17" s="23"/>
      <c r="L17" s="23">
        <v>406.67</v>
      </c>
      <c r="M17" s="23">
        <v>71.67</v>
      </c>
      <c r="N17" s="23">
        <v>5.67</v>
      </c>
      <c r="O17" s="23">
        <v>2.47</v>
      </c>
      <c r="P17" s="23">
        <v>2.97</v>
      </c>
      <c r="Q17" s="23">
        <v>0.42</v>
      </c>
      <c r="R17" s="23"/>
      <c r="S17" s="23"/>
      <c r="T17" s="23"/>
      <c r="U17" s="23">
        <v>0.54</v>
      </c>
      <c r="V17" s="23">
        <v>3.1</v>
      </c>
      <c r="W17" s="23">
        <v>38.8</v>
      </c>
      <c r="X17" s="23">
        <v>89.1</v>
      </c>
      <c r="Y17" s="23">
        <v>74.1</v>
      </c>
      <c r="Z17" s="23">
        <v>524.0</v>
      </c>
      <c r="AA17" s="23"/>
      <c r="AB17" s="23">
        <v>852.0</v>
      </c>
      <c r="AC17" s="23">
        <v>435.0</v>
      </c>
      <c r="AD17" s="23">
        <v>643.5</v>
      </c>
      <c r="AE17" s="23">
        <v>3950.0</v>
      </c>
      <c r="AF17" s="23">
        <v>367.0</v>
      </c>
      <c r="AG17" s="23">
        <v>975.0</v>
      </c>
      <c r="AH17" s="23">
        <v>5.69</v>
      </c>
      <c r="AI17" s="23">
        <v>2.36</v>
      </c>
      <c r="AJ17" s="23">
        <v>3.72</v>
      </c>
      <c r="AK17" s="23">
        <v>70.0</v>
      </c>
      <c r="AL17" s="23">
        <v>1.5432</v>
      </c>
      <c r="AM17" s="23">
        <v>209.07</v>
      </c>
      <c r="AN17" s="23">
        <v>92.91</v>
      </c>
      <c r="AO17" s="23">
        <v>2105.0</v>
      </c>
      <c r="AP17" s="23">
        <v>1075.0</v>
      </c>
      <c r="AQ17" s="23">
        <v>1590.0</v>
      </c>
    </row>
    <row r="18">
      <c r="A18" s="19">
        <v>1990.0</v>
      </c>
      <c r="B18" s="19">
        <v>384.0</v>
      </c>
      <c r="C18" s="19">
        <v>24.0</v>
      </c>
      <c r="D18" s="19">
        <v>200.0</v>
      </c>
      <c r="E18" s="19">
        <v>109.0</v>
      </c>
      <c r="F18" s="19">
        <v>140.0</v>
      </c>
      <c r="G18" s="19">
        <v>2.9</v>
      </c>
      <c r="H18" s="19">
        <v>3500.0</v>
      </c>
      <c r="I18" s="19">
        <v>1650.0</v>
      </c>
      <c r="J18" s="19">
        <v>200.0</v>
      </c>
      <c r="K18" s="19"/>
      <c r="L18" s="19">
        <v>400.0</v>
      </c>
      <c r="M18" s="19">
        <v>70.0</v>
      </c>
      <c r="N18" s="19">
        <v>5.5</v>
      </c>
      <c r="O18" s="19">
        <v>2.4</v>
      </c>
      <c r="P18" s="19">
        <v>2.9</v>
      </c>
      <c r="Q18" s="19">
        <v>0.4</v>
      </c>
      <c r="R18" s="19" t="s">
        <v>69</v>
      </c>
      <c r="S18" s="19" t="s">
        <v>70</v>
      </c>
      <c r="T18" s="19" t="s">
        <v>71</v>
      </c>
      <c r="U18" s="19">
        <v>0.5</v>
      </c>
      <c r="V18" s="19">
        <v>2.9</v>
      </c>
      <c r="W18" s="19">
        <v>36.4</v>
      </c>
      <c r="X18" s="19">
        <v>83.3</v>
      </c>
      <c r="Y18" s="19">
        <v>69.0</v>
      </c>
      <c r="Z18" s="19">
        <v>500.0</v>
      </c>
      <c r="AA18" s="19"/>
      <c r="AB18" s="19">
        <v>787.0</v>
      </c>
      <c r="AC18" s="19">
        <v>415.0</v>
      </c>
      <c r="AD18" s="19">
        <v>601.0</v>
      </c>
      <c r="AE18" s="19">
        <v>4026.0</v>
      </c>
      <c r="AF18" s="19">
        <v>374.0</v>
      </c>
      <c r="AG18" s="19">
        <v>1000.0</v>
      </c>
      <c r="AH18" s="19">
        <v>5.74</v>
      </c>
      <c r="AI18" s="19">
        <v>2.28</v>
      </c>
      <c r="AJ18" s="19">
        <v>2.61</v>
      </c>
      <c r="AK18" s="19">
        <v>74.0</v>
      </c>
      <c r="AL18" s="19">
        <v>1.6314</v>
      </c>
      <c r="AM18" s="19">
        <v>210.91</v>
      </c>
      <c r="AN18" s="19">
        <v>89.76</v>
      </c>
      <c r="AO18" s="19">
        <v>1945.0</v>
      </c>
      <c r="AP18" s="19">
        <v>1025.0</v>
      </c>
      <c r="AQ18" s="19">
        <v>1485.0</v>
      </c>
    </row>
    <row r="19">
      <c r="A19" s="23">
        <v>1991.0</v>
      </c>
      <c r="B19" s="23">
        <v>362.0</v>
      </c>
      <c r="C19" s="23">
        <v>20.0</v>
      </c>
      <c r="D19" s="23">
        <v>208.0</v>
      </c>
      <c r="E19" s="23">
        <v>94.0</v>
      </c>
      <c r="F19" s="23">
        <v>130.0</v>
      </c>
      <c r="G19" s="23">
        <v>2.7</v>
      </c>
      <c r="H19" s="23">
        <v>3400.0</v>
      </c>
      <c r="I19" s="23">
        <v>1700.0</v>
      </c>
      <c r="J19" s="23">
        <v>350.0</v>
      </c>
      <c r="K19" s="23"/>
      <c r="L19" s="23">
        <v>600.0</v>
      </c>
      <c r="M19" s="23">
        <v>100.0</v>
      </c>
      <c r="N19" s="23">
        <v>7.0</v>
      </c>
      <c r="O19" s="23">
        <v>3.0</v>
      </c>
      <c r="P19" s="23">
        <v>3.5</v>
      </c>
      <c r="Q19" s="23">
        <v>0.55</v>
      </c>
      <c r="R19" s="23" t="s">
        <v>72</v>
      </c>
      <c r="S19" s="23" t="s">
        <v>73</v>
      </c>
      <c r="T19" s="23" t="s">
        <v>74</v>
      </c>
      <c r="U19" s="23">
        <v>0.58</v>
      </c>
      <c r="V19" s="23">
        <v>3.5</v>
      </c>
      <c r="W19" s="23">
        <v>50.0</v>
      </c>
      <c r="X19" s="23">
        <v>116.7</v>
      </c>
      <c r="Y19" s="23">
        <v>100.0</v>
      </c>
      <c r="Z19" s="23">
        <v>636.0</v>
      </c>
      <c r="AA19" s="23"/>
      <c r="AB19" s="23">
        <v>769.0</v>
      </c>
      <c r="AC19" s="23">
        <v>413.0</v>
      </c>
      <c r="AD19" s="23">
        <v>591.0</v>
      </c>
      <c r="AE19" s="23">
        <v>3627.0</v>
      </c>
      <c r="AF19" s="23">
        <v>337.0</v>
      </c>
      <c r="AG19" s="23">
        <v>975.0</v>
      </c>
      <c r="AH19" s="23">
        <v>5.58</v>
      </c>
      <c r="AI19" s="23">
        <v>2.37</v>
      </c>
      <c r="AJ19" s="23">
        <v>3.0</v>
      </c>
      <c r="AK19" s="23">
        <v>72.0</v>
      </c>
      <c r="AL19" s="23">
        <v>1.5873</v>
      </c>
      <c r="AM19" s="23">
        <v>205.03</v>
      </c>
      <c r="AN19" s="23">
        <v>93.3</v>
      </c>
      <c r="AO19" s="23">
        <v>1900.0</v>
      </c>
      <c r="AP19" s="23">
        <v>1021.0</v>
      </c>
      <c r="AQ19" s="23">
        <v>1460.0</v>
      </c>
    </row>
    <row r="20">
      <c r="A20" s="19">
        <v>1992.0</v>
      </c>
      <c r="B20" s="19">
        <v>344.0</v>
      </c>
      <c r="C20" s="19">
        <v>19.0</v>
      </c>
      <c r="D20" s="19">
        <v>206.0</v>
      </c>
      <c r="E20" s="19">
        <v>96.0</v>
      </c>
      <c r="F20" s="19">
        <v>150.0</v>
      </c>
      <c r="G20" s="19">
        <v>2.7</v>
      </c>
      <c r="H20" s="19">
        <v>3300.0</v>
      </c>
      <c r="I20" s="19">
        <v>1750.0</v>
      </c>
      <c r="J20" s="19">
        <v>425.0</v>
      </c>
      <c r="K20" s="19"/>
      <c r="L20" s="19">
        <v>700.0</v>
      </c>
      <c r="M20" s="19">
        <v>115.0</v>
      </c>
      <c r="N20" s="19">
        <v>7.4</v>
      </c>
      <c r="O20" s="19">
        <v>3.15</v>
      </c>
      <c r="P20" s="19">
        <v>3.65</v>
      </c>
      <c r="Q20" s="19">
        <v>0.6</v>
      </c>
      <c r="R20" s="19"/>
      <c r="S20" s="19"/>
      <c r="T20" s="19"/>
      <c r="U20" s="19">
        <v>0.61</v>
      </c>
      <c r="V20" s="19">
        <v>3.7</v>
      </c>
      <c r="W20" s="19">
        <v>57.4</v>
      </c>
      <c r="X20" s="19">
        <v>134.9</v>
      </c>
      <c r="Y20" s="19">
        <v>116.4</v>
      </c>
      <c r="Z20" s="19">
        <v>708.0</v>
      </c>
      <c r="AA20" s="19"/>
      <c r="AB20" s="19">
        <v>766.0</v>
      </c>
      <c r="AC20" s="19">
        <v>413.0</v>
      </c>
      <c r="AD20" s="19">
        <v>589.5</v>
      </c>
      <c r="AE20" s="19">
        <v>3897.0</v>
      </c>
      <c r="AF20" s="19">
        <v>362.0</v>
      </c>
      <c r="AG20" s="19">
        <v>975.0</v>
      </c>
      <c r="AH20" s="19">
        <v>5.56</v>
      </c>
      <c r="AI20" s="19">
        <v>2.07</v>
      </c>
      <c r="AJ20" s="19">
        <v>3.24</v>
      </c>
      <c r="AK20" s="19">
        <v>71.0</v>
      </c>
      <c r="AL20" s="19">
        <v>1.5653</v>
      </c>
      <c r="AM20" s="19">
        <v>204.3</v>
      </c>
      <c r="AN20" s="19">
        <v>81.49</v>
      </c>
      <c r="AO20" s="19">
        <v>1893.0</v>
      </c>
      <c r="AP20" s="19">
        <v>1021.0</v>
      </c>
      <c r="AQ20" s="19">
        <v>1457.0</v>
      </c>
    </row>
    <row r="21" ht="15.75" customHeight="1">
      <c r="A21" s="23">
        <v>1993.0</v>
      </c>
      <c r="B21" s="23">
        <v>360.0</v>
      </c>
      <c r="C21" s="23">
        <v>17.0</v>
      </c>
      <c r="D21" s="23">
        <v>224.0</v>
      </c>
      <c r="E21" s="23">
        <v>101.0</v>
      </c>
      <c r="F21" s="23">
        <v>138.0</v>
      </c>
      <c r="G21" s="23">
        <v>2.6</v>
      </c>
      <c r="H21" s="23">
        <v>3200.0</v>
      </c>
      <c r="I21" s="23">
        <v>1800.0</v>
      </c>
      <c r="J21" s="23">
        <v>500.0</v>
      </c>
      <c r="K21" s="23"/>
      <c r="L21" s="23">
        <v>800.0</v>
      </c>
      <c r="M21" s="23">
        <v>130.0</v>
      </c>
      <c r="N21" s="23">
        <v>7.8</v>
      </c>
      <c r="O21" s="23">
        <v>3.3</v>
      </c>
      <c r="P21" s="23">
        <v>3.8</v>
      </c>
      <c r="Q21" s="23">
        <v>0.65</v>
      </c>
      <c r="R21" s="23" t="s">
        <v>75</v>
      </c>
      <c r="S21" s="23" t="s">
        <v>76</v>
      </c>
      <c r="T21" s="23" t="s">
        <v>77</v>
      </c>
      <c r="U21" s="23">
        <v>0.62</v>
      </c>
      <c r="V21" s="23">
        <v>3.8</v>
      </c>
      <c r="W21" s="23">
        <v>64.1</v>
      </c>
      <c r="X21" s="23">
        <v>151.5</v>
      </c>
      <c r="Y21" s="23">
        <v>131.6</v>
      </c>
      <c r="Z21" s="23">
        <v>769.0</v>
      </c>
      <c r="AA21" s="23"/>
      <c r="AB21" s="23">
        <v>804.0</v>
      </c>
      <c r="AC21" s="23">
        <v>430.0</v>
      </c>
      <c r="AD21" s="23">
        <v>617.0</v>
      </c>
      <c r="AE21" s="23">
        <v>3111.0</v>
      </c>
      <c r="AF21" s="23">
        <v>289.0</v>
      </c>
      <c r="AG21" s="23">
        <v>1000.0</v>
      </c>
      <c r="AH21" s="23">
        <v>6.4</v>
      </c>
      <c r="AI21" s="23">
        <v>2.5</v>
      </c>
      <c r="AJ21" s="23">
        <v>3.26</v>
      </c>
      <c r="AK21" s="23">
        <v>72.0</v>
      </c>
      <c r="AL21" s="23">
        <v>1.5873</v>
      </c>
      <c r="AM21" s="23">
        <v>235.16</v>
      </c>
      <c r="AN21" s="23">
        <v>98.42</v>
      </c>
      <c r="AO21" s="23">
        <v>1987.0</v>
      </c>
      <c r="AP21" s="23">
        <v>1063.0</v>
      </c>
      <c r="AQ21" s="23">
        <v>1525.0</v>
      </c>
    </row>
    <row r="22" ht="15.75" customHeight="1">
      <c r="A22" s="19">
        <v>1994.0</v>
      </c>
      <c r="B22" s="19">
        <v>384.0</v>
      </c>
      <c r="C22" s="19">
        <v>18.0</v>
      </c>
      <c r="D22" s="19">
        <v>202.0</v>
      </c>
      <c r="E22" s="19">
        <v>99.0</v>
      </c>
      <c r="F22" s="19">
        <v>130.0</v>
      </c>
      <c r="G22" s="19">
        <v>2.6</v>
      </c>
      <c r="H22" s="19">
        <v>3400.0</v>
      </c>
      <c r="I22" s="19">
        <v>1900.0</v>
      </c>
      <c r="J22" s="19">
        <v>525.0</v>
      </c>
      <c r="K22" s="19"/>
      <c r="L22" s="19">
        <v>850.0</v>
      </c>
      <c r="M22" s="19">
        <v>135.0</v>
      </c>
      <c r="N22" s="19">
        <v>8.15</v>
      </c>
      <c r="O22" s="19">
        <v>3.4</v>
      </c>
      <c r="P22" s="19">
        <v>3.9</v>
      </c>
      <c r="Q22" s="19">
        <v>0.68</v>
      </c>
      <c r="R22" s="19"/>
      <c r="S22" s="19"/>
      <c r="T22" s="19"/>
      <c r="U22" s="19">
        <v>0.62</v>
      </c>
      <c r="V22" s="19">
        <v>3.9</v>
      </c>
      <c r="W22" s="19">
        <v>64.4</v>
      </c>
      <c r="X22" s="19">
        <v>154.4</v>
      </c>
      <c r="Y22" s="19">
        <v>134.6</v>
      </c>
      <c r="Z22" s="19">
        <v>772.0</v>
      </c>
      <c r="AA22" s="19"/>
      <c r="AB22" s="19">
        <v>851.0</v>
      </c>
      <c r="AC22" s="19">
        <v>453.0</v>
      </c>
      <c r="AD22" s="19">
        <v>652.0</v>
      </c>
      <c r="AE22" s="19">
        <v>3240.0</v>
      </c>
      <c r="AF22" s="19">
        <v>301.0</v>
      </c>
      <c r="AG22" s="19">
        <v>1050.0</v>
      </c>
      <c r="AH22" s="19">
        <v>5.48</v>
      </c>
      <c r="AI22" s="19">
        <v>2.26</v>
      </c>
      <c r="AJ22" s="19">
        <v>3.45</v>
      </c>
      <c r="AK22" s="19">
        <v>68.0</v>
      </c>
      <c r="AL22" s="19">
        <v>1.4992</v>
      </c>
      <c r="AM22" s="19">
        <v>201.36</v>
      </c>
      <c r="AN22" s="19">
        <v>88.97</v>
      </c>
      <c r="AO22" s="19">
        <v>2103.0</v>
      </c>
      <c r="AP22" s="19">
        <v>1119.0</v>
      </c>
      <c r="AQ22" s="19">
        <v>1611.0</v>
      </c>
    </row>
    <row r="23" ht="15.75" customHeight="1">
      <c r="A23" s="23">
        <v>1995.0</v>
      </c>
      <c r="B23" s="23">
        <v>384.0</v>
      </c>
      <c r="C23" s="23">
        <v>17.0</v>
      </c>
      <c r="D23" s="23">
        <v>208.0</v>
      </c>
      <c r="E23" s="23">
        <v>118.0</v>
      </c>
      <c r="F23" s="23">
        <v>162.0</v>
      </c>
      <c r="G23" s="23">
        <v>2.7</v>
      </c>
      <c r="H23" s="23">
        <v>3600.0</v>
      </c>
      <c r="I23" s="23">
        <v>2000.0</v>
      </c>
      <c r="J23" s="23">
        <v>550.0</v>
      </c>
      <c r="K23" s="23"/>
      <c r="L23" s="23">
        <v>900.0</v>
      </c>
      <c r="M23" s="23">
        <v>140.0</v>
      </c>
      <c r="N23" s="23">
        <v>8.5</v>
      </c>
      <c r="O23" s="23">
        <v>3.5</v>
      </c>
      <c r="P23" s="23">
        <v>4.0</v>
      </c>
      <c r="Q23" s="23">
        <v>0.7</v>
      </c>
      <c r="R23" s="23" t="s">
        <v>78</v>
      </c>
      <c r="S23" s="23" t="s">
        <v>79</v>
      </c>
      <c r="T23" s="23" t="s">
        <v>77</v>
      </c>
      <c r="U23" s="23">
        <v>0.61</v>
      </c>
      <c r="V23" s="23">
        <v>3.9</v>
      </c>
      <c r="W23" s="23">
        <v>64.7</v>
      </c>
      <c r="X23" s="23">
        <v>157.1</v>
      </c>
      <c r="Y23" s="23">
        <v>137.5</v>
      </c>
      <c r="Z23" s="23">
        <v>786.0</v>
      </c>
      <c r="AA23" s="23"/>
      <c r="AB23" s="23">
        <v>900.0</v>
      </c>
      <c r="AC23" s="23">
        <v>480.0</v>
      </c>
      <c r="AD23" s="23">
        <v>690.0</v>
      </c>
      <c r="AE23" s="23">
        <v>3165.0</v>
      </c>
      <c r="AF23" s="23">
        <v>294.0</v>
      </c>
      <c r="AG23" s="23">
        <v>1100.0</v>
      </c>
      <c r="AH23" s="23">
        <v>6.72</v>
      </c>
      <c r="AI23" s="23">
        <v>3.24</v>
      </c>
      <c r="AJ23" s="23">
        <v>4.55</v>
      </c>
      <c r="AK23" s="23">
        <v>64.0</v>
      </c>
      <c r="AL23" s="23">
        <v>1.411</v>
      </c>
      <c r="AM23" s="23">
        <v>246.92</v>
      </c>
      <c r="AN23" s="23">
        <v>127.55</v>
      </c>
      <c r="AO23" s="23">
        <v>2224.0</v>
      </c>
      <c r="AP23" s="23">
        <v>1186.0</v>
      </c>
      <c r="AQ23" s="23">
        <v>1705.0</v>
      </c>
    </row>
    <row r="24" ht="15.75" customHeight="1">
      <c r="A24" s="19">
        <v>1996.0</v>
      </c>
      <c r="B24" s="19">
        <v>388.0</v>
      </c>
      <c r="C24" s="19">
        <v>22.0</v>
      </c>
      <c r="D24" s="19">
        <v>266.0</v>
      </c>
      <c r="E24" s="19">
        <v>133.0</v>
      </c>
      <c r="F24" s="19">
        <v>200.0</v>
      </c>
      <c r="G24" s="19">
        <v>2.7</v>
      </c>
      <c r="H24" s="19">
        <v>3900.0</v>
      </c>
      <c r="I24" s="19">
        <v>2150.0</v>
      </c>
      <c r="J24" s="19">
        <v>625.0</v>
      </c>
      <c r="K24" s="19"/>
      <c r="L24" s="19">
        <v>1000.0</v>
      </c>
      <c r="M24" s="19">
        <v>150.0</v>
      </c>
      <c r="N24" s="19">
        <v>9.25</v>
      </c>
      <c r="O24" s="19">
        <v>3.75</v>
      </c>
      <c r="P24" s="19">
        <v>4.25</v>
      </c>
      <c r="Q24" s="19">
        <v>0.72</v>
      </c>
      <c r="R24" s="19"/>
      <c r="S24" s="19"/>
      <c r="T24" s="19"/>
      <c r="U24" s="19">
        <v>0.62</v>
      </c>
      <c r="V24" s="19">
        <v>4.2</v>
      </c>
      <c r="W24" s="19">
        <v>67.6</v>
      </c>
      <c r="X24" s="19">
        <v>166.7</v>
      </c>
      <c r="Y24" s="19">
        <v>147.1</v>
      </c>
      <c r="Z24" s="19">
        <v>868.0</v>
      </c>
      <c r="AA24" s="19"/>
      <c r="AB24" s="19">
        <v>960.0</v>
      </c>
      <c r="AC24" s="19">
        <v>511.0</v>
      </c>
      <c r="AD24" s="19">
        <v>735.5</v>
      </c>
      <c r="AE24" s="19">
        <v>3218.0</v>
      </c>
      <c r="AF24" s="19">
        <v>299.0</v>
      </c>
      <c r="AG24" s="19">
        <v>1200.0</v>
      </c>
      <c r="AH24" s="19">
        <v>7.35</v>
      </c>
      <c r="AI24" s="19">
        <v>2.71</v>
      </c>
      <c r="AJ24" s="19">
        <v>4.3</v>
      </c>
      <c r="AK24" s="19">
        <v>62.0</v>
      </c>
      <c r="AL24" s="19">
        <v>1.3669</v>
      </c>
      <c r="AM24" s="19">
        <v>270.07</v>
      </c>
      <c r="AN24" s="19">
        <v>106.69</v>
      </c>
      <c r="AO24" s="19">
        <v>2372.0</v>
      </c>
      <c r="AP24" s="19">
        <v>1263.0</v>
      </c>
      <c r="AQ24" s="19">
        <v>1817.0</v>
      </c>
    </row>
    <row r="25" ht="15.75" customHeight="1">
      <c r="A25" s="23">
        <v>1997.0</v>
      </c>
      <c r="B25" s="23">
        <v>331.0</v>
      </c>
      <c r="C25" s="23">
        <v>19.0</v>
      </c>
      <c r="D25" s="23">
        <v>270.0</v>
      </c>
      <c r="E25" s="23">
        <v>110.0</v>
      </c>
      <c r="F25" s="23">
        <v>155.0</v>
      </c>
      <c r="G25" s="23">
        <v>2.6</v>
      </c>
      <c r="H25" s="23">
        <v>4200.0</v>
      </c>
      <c r="I25" s="23">
        <v>2300.0</v>
      </c>
      <c r="J25" s="23">
        <v>700.0</v>
      </c>
      <c r="K25" s="23"/>
      <c r="L25" s="23">
        <v>1100.0</v>
      </c>
      <c r="M25" s="23">
        <v>160.0</v>
      </c>
      <c r="N25" s="23">
        <v>10.0</v>
      </c>
      <c r="O25" s="23">
        <v>4.0</v>
      </c>
      <c r="P25" s="23">
        <v>4.5</v>
      </c>
      <c r="Q25" s="23">
        <v>0.75</v>
      </c>
      <c r="R25" s="23" t="s">
        <v>80</v>
      </c>
      <c r="S25" s="23" t="s">
        <v>81</v>
      </c>
      <c r="T25" s="23" t="s">
        <v>77</v>
      </c>
      <c r="U25" s="23">
        <v>0.64</v>
      </c>
      <c r="V25" s="23">
        <v>4.4</v>
      </c>
      <c r="W25" s="23">
        <v>70.0</v>
      </c>
      <c r="X25" s="23">
        <v>175.0</v>
      </c>
      <c r="Y25" s="23">
        <v>155.6</v>
      </c>
      <c r="Z25" s="23">
        <v>933.0</v>
      </c>
      <c r="AA25" s="23"/>
      <c r="AB25" s="23">
        <v>1074.0</v>
      </c>
      <c r="AC25" s="23">
        <v>553.0</v>
      </c>
      <c r="AD25" s="23">
        <v>813.5</v>
      </c>
      <c r="AE25" s="23">
        <v>3660.0</v>
      </c>
      <c r="AF25" s="23">
        <v>340.0</v>
      </c>
      <c r="AG25" s="23">
        <v>1300.0</v>
      </c>
      <c r="AH25" s="23">
        <v>6.47</v>
      </c>
      <c r="AI25" s="23">
        <v>2.43</v>
      </c>
      <c r="AJ25" s="23">
        <v>3.38</v>
      </c>
      <c r="AK25" s="23">
        <v>66.0</v>
      </c>
      <c r="AL25" s="23">
        <v>1.4551</v>
      </c>
      <c r="AM25" s="23">
        <v>237.73</v>
      </c>
      <c r="AN25" s="23">
        <v>95.66</v>
      </c>
      <c r="AO25" s="23">
        <v>2654.0</v>
      </c>
      <c r="AP25" s="23">
        <v>1366.0</v>
      </c>
      <c r="AQ25" s="23">
        <v>2010.0</v>
      </c>
    </row>
    <row r="26" ht="15.75" customHeight="1">
      <c r="A26" s="19">
        <v>1998.0</v>
      </c>
      <c r="B26" s="19">
        <v>294.0</v>
      </c>
      <c r="C26" s="19">
        <v>13.0</v>
      </c>
      <c r="D26" s="19">
        <v>210.0</v>
      </c>
      <c r="E26" s="19">
        <v>92.0</v>
      </c>
      <c r="F26" s="19">
        <v>130.0</v>
      </c>
      <c r="G26" s="19">
        <v>2.6</v>
      </c>
      <c r="H26" s="19">
        <v>4500.0</v>
      </c>
      <c r="I26" s="19">
        <v>2450.0</v>
      </c>
      <c r="J26" s="19">
        <v>800.0</v>
      </c>
      <c r="K26" s="19"/>
      <c r="L26" s="19">
        <v>1100.0</v>
      </c>
      <c r="M26" s="19">
        <v>165.0</v>
      </c>
      <c r="N26" s="19">
        <v>9.5</v>
      </c>
      <c r="O26" s="19">
        <v>3.8</v>
      </c>
      <c r="P26" s="19">
        <v>4.2</v>
      </c>
      <c r="Q26" s="19">
        <v>0.72</v>
      </c>
      <c r="R26" s="19" t="s">
        <v>82</v>
      </c>
      <c r="S26" s="19" t="s">
        <v>83</v>
      </c>
      <c r="T26" s="19" t="s">
        <v>77</v>
      </c>
      <c r="U26" s="19">
        <v>0.73</v>
      </c>
      <c r="V26" s="19">
        <v>4.8</v>
      </c>
      <c r="W26" s="19">
        <v>84.2</v>
      </c>
      <c r="X26" s="19">
        <v>210.5</v>
      </c>
      <c r="Y26" s="19">
        <v>190.5</v>
      </c>
      <c r="Z26" s="19">
        <v>1111.0</v>
      </c>
      <c r="AA26" s="19"/>
      <c r="AB26" s="19">
        <v>1147.0</v>
      </c>
      <c r="AC26" s="19">
        <v>585.0</v>
      </c>
      <c r="AD26" s="19">
        <v>866.0</v>
      </c>
      <c r="AE26" s="19">
        <v>4155.0</v>
      </c>
      <c r="AF26" s="19">
        <v>386.0</v>
      </c>
      <c r="AG26" s="19">
        <v>1450.0</v>
      </c>
      <c r="AH26" s="19">
        <v>4.93</v>
      </c>
      <c r="AI26" s="19">
        <v>1.94</v>
      </c>
      <c r="AJ26" s="19">
        <v>2.65</v>
      </c>
      <c r="AK26" s="19">
        <v>61.0</v>
      </c>
      <c r="AL26" s="19">
        <v>1.3448</v>
      </c>
      <c r="AM26" s="19">
        <v>181.15</v>
      </c>
      <c r="AN26" s="19">
        <v>76.37</v>
      </c>
      <c r="AO26" s="19">
        <v>2834.0</v>
      </c>
      <c r="AP26" s="19">
        <v>1446.0</v>
      </c>
      <c r="AQ26" s="19">
        <v>2140.0</v>
      </c>
    </row>
    <row r="27" ht="15.75" customHeight="1">
      <c r="A27" s="23">
        <v>1999.0</v>
      </c>
      <c r="B27" s="23">
        <v>279.0</v>
      </c>
      <c r="C27" s="23">
        <v>18.0</v>
      </c>
      <c r="D27" s="23">
        <v>178.0</v>
      </c>
      <c r="E27" s="23">
        <v>87.0</v>
      </c>
      <c r="F27" s="23">
        <v>107.0</v>
      </c>
      <c r="G27" s="23">
        <v>2.6</v>
      </c>
      <c r="H27" s="23">
        <v>4600.0</v>
      </c>
      <c r="I27" s="23">
        <v>2500.0</v>
      </c>
      <c r="J27" s="23">
        <v>775.0</v>
      </c>
      <c r="K27" s="23"/>
      <c r="L27" s="23">
        <v>1000.0</v>
      </c>
      <c r="M27" s="23">
        <v>155.0</v>
      </c>
      <c r="N27" s="23">
        <v>9.0</v>
      </c>
      <c r="O27" s="23">
        <v>3.4</v>
      </c>
      <c r="P27" s="23">
        <v>4.0</v>
      </c>
      <c r="Q27" s="23">
        <v>0.69</v>
      </c>
      <c r="R27" s="23"/>
      <c r="S27" s="23"/>
      <c r="T27" s="23"/>
      <c r="U27" s="23">
        <v>0.78</v>
      </c>
      <c r="V27" s="23">
        <v>5.0</v>
      </c>
      <c r="W27" s="23">
        <v>86.1</v>
      </c>
      <c r="X27" s="23">
        <v>227.9</v>
      </c>
      <c r="Y27" s="23">
        <v>193.8</v>
      </c>
      <c r="Z27" s="23">
        <v>1123.0</v>
      </c>
      <c r="AA27" s="23"/>
      <c r="AB27" s="23">
        <v>1170.0</v>
      </c>
      <c r="AC27" s="23">
        <v>590.0</v>
      </c>
      <c r="AD27" s="23">
        <v>880.0</v>
      </c>
      <c r="AE27" s="23">
        <v>4844.0</v>
      </c>
      <c r="AF27" s="23">
        <v>450.0</v>
      </c>
      <c r="AG27" s="23">
        <v>1600.0</v>
      </c>
      <c r="AH27" s="23">
        <v>4.63</v>
      </c>
      <c r="AI27" s="23">
        <v>1.82</v>
      </c>
      <c r="AJ27" s="23">
        <v>2.48</v>
      </c>
      <c r="AK27" s="23">
        <v>65.0</v>
      </c>
      <c r="AL27" s="23">
        <v>1.433</v>
      </c>
      <c r="AM27" s="23">
        <v>170.12</v>
      </c>
      <c r="AN27" s="23">
        <v>71.65</v>
      </c>
      <c r="AO27" s="23">
        <v>2891.0</v>
      </c>
      <c r="AP27" s="23">
        <v>1458.0</v>
      </c>
      <c r="AQ27" s="23">
        <v>2175.0</v>
      </c>
    </row>
    <row r="28" ht="15.75" customHeight="1">
      <c r="A28" s="19">
        <v>2000.0</v>
      </c>
      <c r="B28" s="19">
        <v>279.0</v>
      </c>
      <c r="C28" s="19">
        <v>30.0</v>
      </c>
      <c r="D28" s="19">
        <v>180.0</v>
      </c>
      <c r="E28" s="19">
        <v>88.0</v>
      </c>
      <c r="F28" s="19">
        <v>114.0</v>
      </c>
      <c r="G28" s="19">
        <v>2.9</v>
      </c>
      <c r="H28" s="19">
        <v>4900.0</v>
      </c>
      <c r="I28" s="19">
        <v>2600.0</v>
      </c>
      <c r="J28" s="19">
        <v>750.0</v>
      </c>
      <c r="K28" s="19"/>
      <c r="L28" s="19">
        <v>900.0</v>
      </c>
      <c r="M28" s="19">
        <v>145.0</v>
      </c>
      <c r="N28" s="19">
        <v>8.5</v>
      </c>
      <c r="O28" s="19">
        <v>3.0</v>
      </c>
      <c r="P28" s="19">
        <v>3.8</v>
      </c>
      <c r="Q28" s="19">
        <v>0.65</v>
      </c>
      <c r="R28" s="19" t="s">
        <v>84</v>
      </c>
      <c r="S28" s="19" t="s">
        <v>85</v>
      </c>
      <c r="T28" s="19" t="s">
        <v>86</v>
      </c>
      <c r="U28" s="19">
        <v>0.83</v>
      </c>
      <c r="V28" s="19">
        <v>5.2</v>
      </c>
      <c r="W28" s="19">
        <v>88.2</v>
      </c>
      <c r="X28" s="19">
        <v>250.0</v>
      </c>
      <c r="Y28" s="19">
        <v>197.4</v>
      </c>
      <c r="Z28" s="19">
        <v>1154.0</v>
      </c>
      <c r="AA28" s="19"/>
      <c r="AB28" s="19">
        <v>1192.0</v>
      </c>
      <c r="AC28" s="19">
        <v>601.0</v>
      </c>
      <c r="AD28" s="19">
        <v>896.5</v>
      </c>
      <c r="AE28" s="19">
        <v>5845.0</v>
      </c>
      <c r="AF28" s="19">
        <v>543.0</v>
      </c>
      <c r="AG28" s="19">
        <v>1700.0</v>
      </c>
      <c r="AH28" s="19">
        <v>4.54</v>
      </c>
      <c r="AI28" s="19">
        <v>1.86</v>
      </c>
      <c r="AJ28" s="19">
        <v>2.62</v>
      </c>
      <c r="AK28" s="19">
        <v>68.0</v>
      </c>
      <c r="AL28" s="19">
        <v>1.4992</v>
      </c>
      <c r="AM28" s="19">
        <v>166.82</v>
      </c>
      <c r="AN28" s="19">
        <v>73.22</v>
      </c>
      <c r="AO28" s="19">
        <v>2945.0</v>
      </c>
      <c r="AP28" s="19">
        <v>1485.0</v>
      </c>
      <c r="AQ28" s="19">
        <v>2215.0</v>
      </c>
    </row>
    <row r="29" ht="15.75" customHeight="1">
      <c r="A29" s="23">
        <v>2001.0</v>
      </c>
      <c r="B29" s="23">
        <v>271.0</v>
      </c>
      <c r="C29" s="23">
        <v>26.0</v>
      </c>
      <c r="D29" s="23">
        <v>170.0</v>
      </c>
      <c r="E29" s="23">
        <v>90.0</v>
      </c>
      <c r="F29" s="23">
        <v>120.0</v>
      </c>
      <c r="G29" s="23">
        <v>2.9</v>
      </c>
      <c r="H29" s="23">
        <v>5000.0</v>
      </c>
      <c r="I29" s="23">
        <v>2700.0</v>
      </c>
      <c r="J29" s="23">
        <v>600.0</v>
      </c>
      <c r="K29" s="23"/>
      <c r="L29" s="23">
        <v>700.0</v>
      </c>
      <c r="M29" s="23">
        <v>110.0</v>
      </c>
      <c r="N29" s="23">
        <v>7.0</v>
      </c>
      <c r="O29" s="23">
        <v>2.5</v>
      </c>
      <c r="P29" s="23">
        <v>3.0</v>
      </c>
      <c r="Q29" s="23">
        <v>0.55</v>
      </c>
      <c r="R29" s="23" t="s">
        <v>87</v>
      </c>
      <c r="S29" s="23" t="s">
        <v>88</v>
      </c>
      <c r="T29" s="23" t="s">
        <v>89</v>
      </c>
      <c r="U29" s="23">
        <v>0.86</v>
      </c>
      <c r="V29" s="23">
        <v>5.5</v>
      </c>
      <c r="W29" s="23">
        <v>85.7</v>
      </c>
      <c r="X29" s="23">
        <v>240.0</v>
      </c>
      <c r="Y29" s="23">
        <v>200.0</v>
      </c>
      <c r="Z29" s="23">
        <v>1091.0</v>
      </c>
      <c r="AA29" s="23"/>
      <c r="AB29" s="23">
        <v>1236.0</v>
      </c>
      <c r="AC29" s="23">
        <v>630.0</v>
      </c>
      <c r="AD29" s="23">
        <v>933.0</v>
      </c>
      <c r="AE29" s="23">
        <v>6717.0</v>
      </c>
      <c r="AF29" s="23">
        <v>624.0</v>
      </c>
      <c r="AG29" s="23">
        <v>1900.0</v>
      </c>
      <c r="AH29" s="23">
        <v>4.3</v>
      </c>
      <c r="AI29" s="23">
        <v>1.97</v>
      </c>
      <c r="AJ29" s="23">
        <v>2.78</v>
      </c>
      <c r="AK29" s="23">
        <v>72.0</v>
      </c>
      <c r="AL29" s="23">
        <v>1.5873</v>
      </c>
      <c r="AM29" s="23">
        <v>158.0</v>
      </c>
      <c r="AN29" s="23">
        <v>77.55</v>
      </c>
      <c r="AO29" s="23">
        <v>3054.0</v>
      </c>
      <c r="AP29" s="23">
        <v>1557.0</v>
      </c>
      <c r="AQ29" s="23">
        <v>2305.0</v>
      </c>
    </row>
    <row r="30" ht="15.75" customHeight="1">
      <c r="A30" s="19">
        <v>2002.0</v>
      </c>
      <c r="B30" s="19">
        <v>310.0</v>
      </c>
      <c r="C30" s="19">
        <v>26.0</v>
      </c>
      <c r="D30" s="19">
        <v>196.0</v>
      </c>
      <c r="E30" s="19">
        <v>100.0</v>
      </c>
      <c r="F30" s="19">
        <v>148.0</v>
      </c>
      <c r="G30" s="19">
        <v>3.0</v>
      </c>
      <c r="H30" s="19">
        <v>5100.0</v>
      </c>
      <c r="I30" s="19">
        <v>2750.0</v>
      </c>
      <c r="J30" s="19">
        <v>450.0</v>
      </c>
      <c r="K30" s="19"/>
      <c r="L30" s="19">
        <v>550.0</v>
      </c>
      <c r="M30" s="19">
        <v>90.0</v>
      </c>
      <c r="N30" s="19">
        <v>6.0</v>
      </c>
      <c r="O30" s="19">
        <v>2.0</v>
      </c>
      <c r="P30" s="19">
        <v>2.5</v>
      </c>
      <c r="Q30" s="19">
        <v>0.42</v>
      </c>
      <c r="R30" s="19" t="s">
        <v>90</v>
      </c>
      <c r="S30" s="19" t="s">
        <v>91</v>
      </c>
      <c r="T30" s="19" t="s">
        <v>92</v>
      </c>
      <c r="U30" s="19">
        <v>0.82</v>
      </c>
      <c r="V30" s="19">
        <v>5.0</v>
      </c>
      <c r="W30" s="19">
        <v>75.0</v>
      </c>
      <c r="X30" s="19">
        <v>225.0</v>
      </c>
      <c r="Y30" s="19">
        <v>180.0</v>
      </c>
      <c r="Z30" s="19">
        <v>1071.0</v>
      </c>
      <c r="AA30" s="19"/>
      <c r="AB30" s="19">
        <v>1290.0</v>
      </c>
      <c r="AC30" s="19">
        <v>658.0</v>
      </c>
      <c r="AD30" s="19">
        <v>974.0</v>
      </c>
      <c r="AE30" s="19">
        <v>6792.0</v>
      </c>
      <c r="AF30" s="19">
        <v>631.0</v>
      </c>
      <c r="AG30" s="19">
        <v>2100.0</v>
      </c>
      <c r="AH30" s="19">
        <v>5.53</v>
      </c>
      <c r="AI30" s="19">
        <v>2.32</v>
      </c>
      <c r="AJ30" s="19">
        <v>3.56</v>
      </c>
      <c r="AK30" s="19">
        <v>67.0</v>
      </c>
      <c r="AL30" s="19">
        <v>1.4771</v>
      </c>
      <c r="AM30" s="19">
        <v>203.19</v>
      </c>
      <c r="AN30" s="19">
        <v>91.33</v>
      </c>
      <c r="AO30" s="19">
        <v>3188.0</v>
      </c>
      <c r="AP30" s="19">
        <v>1626.0</v>
      </c>
      <c r="AQ30" s="19">
        <v>2407.0</v>
      </c>
    </row>
    <row r="31" ht="15.75" customHeight="1">
      <c r="A31" s="23">
        <v>2003.0</v>
      </c>
      <c r="B31" s="23">
        <v>364.0</v>
      </c>
      <c r="C31" s="23">
        <v>31.0</v>
      </c>
      <c r="D31" s="23">
        <v>240.0</v>
      </c>
      <c r="E31" s="23">
        <v>118.0</v>
      </c>
      <c r="F31" s="23">
        <v>152.0</v>
      </c>
      <c r="G31" s="23">
        <v>3.2</v>
      </c>
      <c r="H31" s="23">
        <v>5200.0</v>
      </c>
      <c r="I31" s="23">
        <v>2800.0</v>
      </c>
      <c r="J31" s="23">
        <v>600.0</v>
      </c>
      <c r="K31" s="23"/>
      <c r="L31" s="23">
        <v>650.0</v>
      </c>
      <c r="M31" s="23">
        <v>100.0</v>
      </c>
      <c r="N31" s="23">
        <v>9.0</v>
      </c>
      <c r="O31" s="23">
        <v>2.8</v>
      </c>
      <c r="P31" s="23">
        <v>3.5</v>
      </c>
      <c r="Q31" s="23">
        <v>0.5</v>
      </c>
      <c r="R31" s="23" t="s">
        <v>93</v>
      </c>
      <c r="S31" s="23" t="s">
        <v>94</v>
      </c>
      <c r="T31" s="23" t="s">
        <v>92</v>
      </c>
      <c r="U31" s="23">
        <v>0.92</v>
      </c>
      <c r="V31" s="23">
        <v>6.0</v>
      </c>
      <c r="W31" s="23">
        <v>66.7</v>
      </c>
      <c r="X31" s="23">
        <v>214.3</v>
      </c>
      <c r="Y31" s="23">
        <v>171.4</v>
      </c>
      <c r="Z31" s="23">
        <v>1200.0</v>
      </c>
      <c r="AA31" s="23"/>
      <c r="AB31" s="23">
        <v>1378.0</v>
      </c>
      <c r="AC31" s="23">
        <v>695.0</v>
      </c>
      <c r="AD31" s="23">
        <v>1036.5</v>
      </c>
      <c r="AE31" s="23">
        <v>7406.0</v>
      </c>
      <c r="AF31" s="23">
        <v>688.0</v>
      </c>
      <c r="AG31" s="23">
        <v>2300.0</v>
      </c>
      <c r="AH31" s="23">
        <v>7.34</v>
      </c>
      <c r="AI31" s="23">
        <v>2.42</v>
      </c>
      <c r="AJ31" s="23">
        <v>3.4</v>
      </c>
      <c r="AK31" s="23">
        <v>82.0</v>
      </c>
      <c r="AL31" s="23">
        <v>1.8078</v>
      </c>
      <c r="AM31" s="23">
        <v>269.7</v>
      </c>
      <c r="AN31" s="23">
        <v>95.27</v>
      </c>
      <c r="AO31" s="23">
        <v>3405.0</v>
      </c>
      <c r="AP31" s="23">
        <v>1717.0</v>
      </c>
      <c r="AQ31" s="23">
        <v>2561.0</v>
      </c>
    </row>
    <row r="32" ht="15.75" customHeight="1">
      <c r="A32" s="19">
        <v>2004.0</v>
      </c>
      <c r="B32" s="19">
        <v>409.0</v>
      </c>
      <c r="C32" s="19">
        <v>41.0</v>
      </c>
      <c r="D32" s="19">
        <v>276.0</v>
      </c>
      <c r="E32" s="19">
        <v>123.0</v>
      </c>
      <c r="F32" s="19">
        <v>152.0</v>
      </c>
      <c r="G32" s="19">
        <v>3.4</v>
      </c>
      <c r="H32" s="19">
        <v>5600.0</v>
      </c>
      <c r="I32" s="19">
        <v>2900.0</v>
      </c>
      <c r="J32" s="19">
        <v>750.0</v>
      </c>
      <c r="K32" s="19"/>
      <c r="L32" s="19">
        <v>775.0</v>
      </c>
      <c r="M32" s="19">
        <v>115.0</v>
      </c>
      <c r="N32" s="19">
        <v>10.25</v>
      </c>
      <c r="O32" s="19">
        <v>3.15</v>
      </c>
      <c r="P32" s="19">
        <v>3.85</v>
      </c>
      <c r="Q32" s="19">
        <v>0.57</v>
      </c>
      <c r="R32" s="19"/>
      <c r="S32" s="19"/>
      <c r="T32" s="19"/>
      <c r="U32" s="19">
        <v>0.97</v>
      </c>
      <c r="V32" s="19">
        <v>6.5</v>
      </c>
      <c r="W32" s="19">
        <v>73.2</v>
      </c>
      <c r="X32" s="19">
        <v>238.1</v>
      </c>
      <c r="Y32" s="19">
        <v>194.8</v>
      </c>
      <c r="Z32" s="19">
        <v>1316.0</v>
      </c>
      <c r="AA32" s="19"/>
      <c r="AB32" s="19">
        <v>1540.0</v>
      </c>
      <c r="AC32" s="19">
        <v>757.0</v>
      </c>
      <c r="AD32" s="19">
        <v>1148.5</v>
      </c>
      <c r="AE32" s="19">
        <v>8374.0</v>
      </c>
      <c r="AF32" s="19">
        <v>778.0</v>
      </c>
      <c r="AG32" s="19">
        <v>2500.0</v>
      </c>
      <c r="AH32" s="19">
        <v>5.74</v>
      </c>
      <c r="AI32" s="19">
        <v>2.06</v>
      </c>
      <c r="AJ32" s="19">
        <v>3.4</v>
      </c>
      <c r="AK32" s="19">
        <v>84.0</v>
      </c>
      <c r="AL32" s="19">
        <v>1.8519</v>
      </c>
      <c r="AM32" s="19">
        <v>210.91</v>
      </c>
      <c r="AN32" s="19">
        <v>81.1</v>
      </c>
      <c r="AO32" s="19">
        <v>3805.0</v>
      </c>
      <c r="AP32" s="19">
        <v>1871.0</v>
      </c>
      <c r="AQ32" s="19">
        <v>2838.0</v>
      </c>
    </row>
    <row r="33" ht="15.75" customHeight="1">
      <c r="A33" s="23">
        <v>2005.0</v>
      </c>
      <c r="B33" s="23">
        <v>445.0</v>
      </c>
      <c r="C33" s="23">
        <v>55.0</v>
      </c>
      <c r="D33" s="23">
        <v>252.0</v>
      </c>
      <c r="E33" s="23">
        <v>98.0</v>
      </c>
      <c r="F33" s="23">
        <v>152.0</v>
      </c>
      <c r="G33" s="23">
        <v>3.5</v>
      </c>
      <c r="H33" s="23">
        <v>6200.0</v>
      </c>
      <c r="I33" s="23">
        <v>3100.0</v>
      </c>
      <c r="J33" s="23">
        <v>900.0</v>
      </c>
      <c r="K33" s="23"/>
      <c r="L33" s="23">
        <v>900.0</v>
      </c>
      <c r="M33" s="23">
        <v>130.0</v>
      </c>
      <c r="N33" s="23">
        <v>11.5</v>
      </c>
      <c r="O33" s="23">
        <v>3.5</v>
      </c>
      <c r="P33" s="23">
        <v>4.2</v>
      </c>
      <c r="Q33" s="23">
        <v>0.65</v>
      </c>
      <c r="R33" s="23" t="s">
        <v>95</v>
      </c>
      <c r="S33" s="23" t="s">
        <v>96</v>
      </c>
      <c r="T33" s="23" t="s">
        <v>92</v>
      </c>
      <c r="U33" s="23">
        <v>1.0</v>
      </c>
      <c r="V33" s="23">
        <v>6.9</v>
      </c>
      <c r="W33" s="23">
        <v>78.3</v>
      </c>
      <c r="X33" s="23">
        <v>257.1</v>
      </c>
      <c r="Y33" s="23">
        <v>214.3</v>
      </c>
      <c r="Z33" s="23">
        <v>1385.0</v>
      </c>
      <c r="AA33" s="23"/>
      <c r="AB33" s="23">
        <v>1737.0</v>
      </c>
      <c r="AC33" s="23">
        <v>853.0</v>
      </c>
      <c r="AD33" s="23">
        <v>1295.0</v>
      </c>
      <c r="AE33" s="23">
        <v>10344.0</v>
      </c>
      <c r="AF33" s="23">
        <v>961.0</v>
      </c>
      <c r="AG33" s="23">
        <v>2700.0</v>
      </c>
      <c r="AH33" s="23">
        <v>5.66</v>
      </c>
      <c r="AI33" s="23">
        <v>2.0</v>
      </c>
      <c r="AJ33" s="23">
        <v>3.42</v>
      </c>
      <c r="AK33" s="23">
        <v>90.0</v>
      </c>
      <c r="AL33" s="23">
        <v>1.9842</v>
      </c>
      <c r="AM33" s="23">
        <v>207.97</v>
      </c>
      <c r="AN33" s="23">
        <v>78.74</v>
      </c>
      <c r="AO33" s="23">
        <v>4292.0</v>
      </c>
      <c r="AP33" s="23">
        <v>2108.0</v>
      </c>
      <c r="AQ33" s="23">
        <v>3200.0</v>
      </c>
    </row>
    <row r="34" ht="15.75" customHeight="1">
      <c r="A34" s="19">
        <v>2006.0</v>
      </c>
      <c r="B34" s="19">
        <v>604.0</v>
      </c>
      <c r="C34" s="19">
        <v>66.0</v>
      </c>
      <c r="D34" s="19">
        <v>260.0</v>
      </c>
      <c r="E34" s="19">
        <v>130.0</v>
      </c>
      <c r="F34" s="19">
        <v>192.0</v>
      </c>
      <c r="G34" s="19">
        <v>3.6</v>
      </c>
      <c r="H34" s="19">
        <v>7000.0</v>
      </c>
      <c r="I34" s="19">
        <v>3300.0</v>
      </c>
      <c r="J34" s="19">
        <v>1350.0</v>
      </c>
      <c r="K34" s="19"/>
      <c r="L34" s="19">
        <v>1150.0</v>
      </c>
      <c r="M34" s="19">
        <v>155.0</v>
      </c>
      <c r="N34" s="19">
        <v>14.5</v>
      </c>
      <c r="O34" s="19">
        <v>4.25</v>
      </c>
      <c r="P34" s="19">
        <v>5.35</v>
      </c>
      <c r="Q34" s="19">
        <v>0.73</v>
      </c>
      <c r="R34" s="19"/>
      <c r="S34" s="19"/>
      <c r="T34" s="19"/>
      <c r="U34" s="19">
        <v>1.17</v>
      </c>
      <c r="V34" s="19">
        <v>8.7</v>
      </c>
      <c r="W34" s="19">
        <v>93.1</v>
      </c>
      <c r="X34" s="19">
        <v>317.6</v>
      </c>
      <c r="Y34" s="19">
        <v>252.3</v>
      </c>
      <c r="Z34" s="19">
        <v>1849.0</v>
      </c>
      <c r="AA34" s="19"/>
      <c r="AB34" s="19">
        <v>2024.0</v>
      </c>
      <c r="AC34" s="19">
        <v>972.0</v>
      </c>
      <c r="AD34" s="19">
        <v>1498.0</v>
      </c>
      <c r="AE34" s="19">
        <v>11033.0</v>
      </c>
      <c r="AF34" s="19">
        <v>1025.0</v>
      </c>
      <c r="AG34" s="19">
        <v>2900.0</v>
      </c>
      <c r="AH34" s="19">
        <v>6.43</v>
      </c>
      <c r="AI34" s="19">
        <v>3.04</v>
      </c>
      <c r="AJ34" s="19">
        <v>4.26</v>
      </c>
      <c r="AK34" s="19">
        <v>86.0</v>
      </c>
      <c r="AL34" s="19">
        <v>1.896</v>
      </c>
      <c r="AM34" s="19">
        <v>236.26</v>
      </c>
      <c r="AN34" s="19">
        <v>119.68</v>
      </c>
      <c r="AO34" s="19">
        <v>5001.0</v>
      </c>
      <c r="AP34" s="19">
        <v>2402.0</v>
      </c>
      <c r="AQ34" s="19">
        <v>3702.0</v>
      </c>
    </row>
    <row r="35" ht="15.75" customHeight="1">
      <c r="A35" s="23">
        <v>2007.0</v>
      </c>
      <c r="B35" s="23">
        <v>695.0</v>
      </c>
      <c r="C35" s="23">
        <v>72.0</v>
      </c>
      <c r="D35" s="23">
        <v>310.0</v>
      </c>
      <c r="E35" s="23">
        <v>164.0</v>
      </c>
      <c r="F35" s="23">
        <v>300.0</v>
      </c>
      <c r="G35" s="23">
        <v>3.8</v>
      </c>
      <c r="H35" s="23">
        <v>8200.0</v>
      </c>
      <c r="I35" s="23">
        <v>3600.0</v>
      </c>
      <c r="J35" s="23">
        <v>1800.0</v>
      </c>
      <c r="K35" s="23">
        <v>8.0</v>
      </c>
      <c r="L35" s="23">
        <v>1400.0</v>
      </c>
      <c r="M35" s="23">
        <v>180.0</v>
      </c>
      <c r="N35" s="23">
        <v>17.5</v>
      </c>
      <c r="O35" s="23">
        <v>5.0</v>
      </c>
      <c r="P35" s="23">
        <v>6.5</v>
      </c>
      <c r="Q35" s="23">
        <v>0.8</v>
      </c>
      <c r="R35" s="23" t="s">
        <v>97</v>
      </c>
      <c r="S35" s="23" t="s">
        <v>98</v>
      </c>
      <c r="T35" s="23" t="s">
        <v>99</v>
      </c>
      <c r="U35" s="23">
        <v>1.29</v>
      </c>
      <c r="V35" s="23">
        <v>10.0</v>
      </c>
      <c r="W35" s="23">
        <v>102.9</v>
      </c>
      <c r="X35" s="23">
        <v>360.0</v>
      </c>
      <c r="Y35" s="23">
        <v>276.9</v>
      </c>
      <c r="Z35" s="23">
        <v>2250.0</v>
      </c>
      <c r="AA35" s="23">
        <v>8.0</v>
      </c>
      <c r="AB35" s="23">
        <v>2578.0</v>
      </c>
      <c r="AC35" s="23">
        <v>1197.0</v>
      </c>
      <c r="AD35" s="23">
        <v>1887.5</v>
      </c>
      <c r="AE35" s="23">
        <v>11830.0</v>
      </c>
      <c r="AF35" s="23">
        <v>1099.0</v>
      </c>
      <c r="AG35" s="23">
        <v>3100.0</v>
      </c>
      <c r="AH35" s="23">
        <v>10.1</v>
      </c>
      <c r="AI35" s="23">
        <v>4.2</v>
      </c>
      <c r="AJ35" s="23">
        <v>6.48</v>
      </c>
      <c r="AK35" s="23">
        <v>91.0</v>
      </c>
      <c r="AL35" s="23">
        <v>2.0062</v>
      </c>
      <c r="AM35" s="23">
        <v>371.11</v>
      </c>
      <c r="AN35" s="23">
        <v>165.35</v>
      </c>
      <c r="AO35" s="23">
        <v>6370.0</v>
      </c>
      <c r="AP35" s="23">
        <v>2958.0</v>
      </c>
      <c r="AQ35" s="23">
        <v>4664.0</v>
      </c>
    </row>
    <row r="36" ht="15.75" customHeight="1">
      <c r="A36" s="19">
        <v>2008.0</v>
      </c>
      <c r="B36" s="19">
        <v>872.0</v>
      </c>
      <c r="C36" s="19">
        <v>100.0</v>
      </c>
      <c r="D36" s="19">
        <v>450.0</v>
      </c>
      <c r="E36" s="19">
        <v>216.0</v>
      </c>
      <c r="F36" s="19">
        <v>330.0</v>
      </c>
      <c r="G36" s="19">
        <v>4.0</v>
      </c>
      <c r="H36" s="19">
        <v>9000.0</v>
      </c>
      <c r="I36" s="19">
        <v>3800.0</v>
      </c>
      <c r="J36" s="19">
        <v>2500.0</v>
      </c>
      <c r="K36" s="19">
        <v>10.0</v>
      </c>
      <c r="L36" s="19">
        <v>1700.0</v>
      </c>
      <c r="M36" s="19">
        <v>210.0</v>
      </c>
      <c r="N36" s="19">
        <v>22.0</v>
      </c>
      <c r="O36" s="19">
        <v>8.0</v>
      </c>
      <c r="P36" s="19">
        <v>9.0</v>
      </c>
      <c r="Q36" s="19">
        <v>0.9</v>
      </c>
      <c r="R36" s="19" t="s">
        <v>100</v>
      </c>
      <c r="S36" s="19" t="s">
        <v>101</v>
      </c>
      <c r="T36" s="19" t="s">
        <v>102</v>
      </c>
      <c r="U36" s="19">
        <v>1.47</v>
      </c>
      <c r="V36" s="19">
        <v>11.9</v>
      </c>
      <c r="W36" s="19">
        <v>113.6</v>
      </c>
      <c r="X36" s="19">
        <v>312.5</v>
      </c>
      <c r="Y36" s="19">
        <v>277.8</v>
      </c>
      <c r="Z36" s="19">
        <v>2778.0</v>
      </c>
      <c r="AA36" s="19">
        <v>10.0</v>
      </c>
      <c r="AB36" s="19">
        <v>3199.0</v>
      </c>
      <c r="AC36" s="19">
        <v>1500.0</v>
      </c>
      <c r="AD36" s="19">
        <v>2349.5</v>
      </c>
      <c r="AE36" s="19">
        <v>13143.0</v>
      </c>
      <c r="AF36" s="19">
        <v>1221.0</v>
      </c>
      <c r="AG36" s="19">
        <v>3400.0</v>
      </c>
      <c r="AH36" s="19">
        <v>10.11</v>
      </c>
      <c r="AI36" s="19">
        <v>4.06</v>
      </c>
      <c r="AJ36" s="19">
        <v>6.78</v>
      </c>
      <c r="AK36" s="19">
        <v>101.0</v>
      </c>
      <c r="AL36" s="19">
        <v>2.2267</v>
      </c>
      <c r="AM36" s="19">
        <v>371.48</v>
      </c>
      <c r="AN36" s="19">
        <v>159.83</v>
      </c>
      <c r="AO36" s="19">
        <v>7905.0</v>
      </c>
      <c r="AP36" s="19">
        <v>3707.0</v>
      </c>
      <c r="AQ36" s="19">
        <v>5806.0</v>
      </c>
    </row>
    <row r="37" ht="15.75" customHeight="1">
      <c r="A37" s="23">
        <v>2009.0</v>
      </c>
      <c r="B37" s="23">
        <v>972.0</v>
      </c>
      <c r="C37" s="23">
        <v>62.0</v>
      </c>
      <c r="D37" s="23">
        <v>338.0</v>
      </c>
      <c r="E37" s="23">
        <v>165.0</v>
      </c>
      <c r="F37" s="23">
        <v>180.0</v>
      </c>
      <c r="G37" s="23">
        <v>3.8</v>
      </c>
      <c r="H37" s="23">
        <v>7800.0</v>
      </c>
      <c r="I37" s="23">
        <v>3200.0</v>
      </c>
      <c r="J37" s="23">
        <v>2000.0</v>
      </c>
      <c r="K37" s="23">
        <v>9.0</v>
      </c>
      <c r="L37" s="23">
        <v>1600.0</v>
      </c>
      <c r="M37" s="23">
        <v>200.0</v>
      </c>
      <c r="N37" s="23">
        <v>14.0</v>
      </c>
      <c r="O37" s="23">
        <v>4.5</v>
      </c>
      <c r="P37" s="23">
        <v>5.5</v>
      </c>
      <c r="Q37" s="23">
        <v>0.75</v>
      </c>
      <c r="R37" s="23" t="s">
        <v>103</v>
      </c>
      <c r="S37" s="23" t="s">
        <v>104</v>
      </c>
      <c r="T37" s="23" t="s">
        <v>105</v>
      </c>
      <c r="U37" s="23">
        <v>1.25</v>
      </c>
      <c r="V37" s="23">
        <v>10.0</v>
      </c>
      <c r="W37" s="23">
        <v>142.9</v>
      </c>
      <c r="X37" s="23">
        <v>444.4</v>
      </c>
      <c r="Y37" s="23">
        <v>363.6</v>
      </c>
      <c r="Z37" s="23">
        <v>2667.0</v>
      </c>
      <c r="AA37" s="23">
        <v>9.0</v>
      </c>
      <c r="AB37" s="23">
        <v>3352.0</v>
      </c>
      <c r="AC37" s="23">
        <v>1568.0</v>
      </c>
      <c r="AD37" s="23">
        <v>2460.0</v>
      </c>
      <c r="AE37" s="23">
        <v>12002.0</v>
      </c>
      <c r="AF37" s="23">
        <v>1115.0</v>
      </c>
      <c r="AG37" s="23">
        <v>3200.0</v>
      </c>
      <c r="AH37" s="23">
        <v>9.59</v>
      </c>
      <c r="AI37" s="23">
        <v>3.55</v>
      </c>
      <c r="AJ37" s="23">
        <v>4.87</v>
      </c>
      <c r="AK37" s="23">
        <v>84.0</v>
      </c>
      <c r="AL37" s="23">
        <v>1.8519</v>
      </c>
      <c r="AM37" s="23">
        <v>352.37</v>
      </c>
      <c r="AN37" s="23">
        <v>139.76</v>
      </c>
      <c r="AO37" s="23">
        <v>8283.0</v>
      </c>
      <c r="AP37" s="23">
        <v>3875.0</v>
      </c>
      <c r="AQ37" s="23">
        <v>6079.0</v>
      </c>
    </row>
    <row r="38" ht="15.75" customHeight="1">
      <c r="A38" s="19">
        <v>2010.0</v>
      </c>
      <c r="B38" s="19">
        <v>1225.0</v>
      </c>
      <c r="C38" s="19">
        <v>79.0</v>
      </c>
      <c r="D38" s="19">
        <v>366.0</v>
      </c>
      <c r="E38" s="19">
        <v>186.0</v>
      </c>
      <c r="F38" s="19">
        <v>195.0</v>
      </c>
      <c r="G38" s="19">
        <v>4.1</v>
      </c>
      <c r="H38" s="19">
        <v>8200.0</v>
      </c>
      <c r="I38" s="19">
        <v>3400.0</v>
      </c>
      <c r="J38" s="19">
        <v>2800.0</v>
      </c>
      <c r="K38" s="19">
        <v>11.0</v>
      </c>
      <c r="L38" s="19">
        <v>1800.0</v>
      </c>
      <c r="M38" s="19">
        <v>230.0</v>
      </c>
      <c r="N38" s="19">
        <v>19.5</v>
      </c>
      <c r="O38" s="19">
        <v>6.0</v>
      </c>
      <c r="P38" s="19">
        <v>6.8</v>
      </c>
      <c r="Q38" s="19">
        <v>1.0</v>
      </c>
      <c r="R38" s="19" t="s">
        <v>106</v>
      </c>
      <c r="S38" s="19" t="s">
        <v>107</v>
      </c>
      <c r="T38" s="19" t="s">
        <v>108</v>
      </c>
      <c r="U38" s="19">
        <v>1.56</v>
      </c>
      <c r="V38" s="19">
        <v>12.2</v>
      </c>
      <c r="W38" s="19">
        <v>143.6</v>
      </c>
      <c r="X38" s="19">
        <v>466.7</v>
      </c>
      <c r="Y38" s="19">
        <v>411.8</v>
      </c>
      <c r="Z38" s="19">
        <v>2800.0</v>
      </c>
      <c r="AA38" s="19">
        <v>11.0</v>
      </c>
      <c r="AB38" s="19">
        <v>3810.0</v>
      </c>
      <c r="AC38" s="19">
        <v>1800.0</v>
      </c>
      <c r="AD38" s="19">
        <v>2805.0</v>
      </c>
      <c r="AE38" s="19">
        <v>12551.0</v>
      </c>
      <c r="AF38" s="19">
        <v>1166.0</v>
      </c>
      <c r="AG38" s="19">
        <v>3400.0</v>
      </c>
      <c r="AH38" s="19">
        <v>11.3</v>
      </c>
      <c r="AI38" s="19">
        <v>5.18</v>
      </c>
      <c r="AJ38" s="19">
        <v>5.7</v>
      </c>
      <c r="AK38" s="19">
        <v>94.0</v>
      </c>
      <c r="AL38" s="19">
        <v>2.0724</v>
      </c>
      <c r="AM38" s="19">
        <v>415.21</v>
      </c>
      <c r="AN38" s="19">
        <v>203.93</v>
      </c>
      <c r="AO38" s="19">
        <v>9415.0</v>
      </c>
      <c r="AP38" s="19">
        <v>4448.0</v>
      </c>
      <c r="AQ38" s="19">
        <v>6931.0</v>
      </c>
    </row>
    <row r="39" ht="15.75" customHeight="1">
      <c r="A39" s="23">
        <v>2011.0</v>
      </c>
      <c r="B39" s="23">
        <v>1572.0</v>
      </c>
      <c r="C39" s="23">
        <v>95.0</v>
      </c>
      <c r="D39" s="23">
        <v>470.0</v>
      </c>
      <c r="E39" s="23">
        <v>265.0</v>
      </c>
      <c r="F39" s="23">
        <v>270.0</v>
      </c>
      <c r="G39" s="23">
        <v>4.6</v>
      </c>
      <c r="H39" s="23">
        <v>9200.0</v>
      </c>
      <c r="I39" s="23">
        <v>3700.0</v>
      </c>
      <c r="J39" s="23">
        <v>3500.0</v>
      </c>
      <c r="K39" s="23">
        <v>13.0</v>
      </c>
      <c r="L39" s="23">
        <v>2200.0</v>
      </c>
      <c r="M39" s="23">
        <v>280.0</v>
      </c>
      <c r="N39" s="23">
        <v>20.0</v>
      </c>
      <c r="O39" s="23">
        <v>6.2</v>
      </c>
      <c r="P39" s="23">
        <v>7.2</v>
      </c>
      <c r="Q39" s="23">
        <v>1.1</v>
      </c>
      <c r="R39" s="23" t="s">
        <v>109</v>
      </c>
      <c r="S39" s="23" t="s">
        <v>110</v>
      </c>
      <c r="T39" s="23" t="s">
        <v>111</v>
      </c>
      <c r="U39" s="23">
        <v>1.59</v>
      </c>
      <c r="V39" s="23">
        <v>12.5</v>
      </c>
      <c r="W39" s="23">
        <v>175.0</v>
      </c>
      <c r="X39" s="23">
        <v>564.5</v>
      </c>
      <c r="Y39" s="23">
        <v>486.1</v>
      </c>
      <c r="Z39" s="23">
        <v>3182.0</v>
      </c>
      <c r="AA39" s="23">
        <v>13.0</v>
      </c>
      <c r="AB39" s="23">
        <v>4690.0</v>
      </c>
      <c r="AC39" s="23">
        <v>2200.0</v>
      </c>
      <c r="AD39" s="23">
        <v>3445.0</v>
      </c>
      <c r="AE39" s="23">
        <v>12809.0</v>
      </c>
      <c r="AF39" s="23">
        <v>1190.0</v>
      </c>
      <c r="AG39" s="23">
        <v>3700.0</v>
      </c>
      <c r="AH39" s="23">
        <v>12.37</v>
      </c>
      <c r="AI39" s="23">
        <v>6.22</v>
      </c>
      <c r="AJ39" s="23">
        <v>7.77</v>
      </c>
      <c r="AK39" s="23">
        <v>111.0</v>
      </c>
      <c r="AL39" s="23">
        <v>2.4471</v>
      </c>
      <c r="AM39" s="23">
        <v>454.52</v>
      </c>
      <c r="AN39" s="23">
        <v>244.87</v>
      </c>
      <c r="AO39" s="23">
        <v>11589.0</v>
      </c>
      <c r="AP39" s="23">
        <v>5436.0</v>
      </c>
      <c r="AQ39" s="23">
        <v>8513.0</v>
      </c>
    </row>
    <row r="40" ht="15.75" customHeight="1">
      <c r="A40" s="19">
        <v>2012.0</v>
      </c>
      <c r="B40" s="19">
        <v>1669.0</v>
      </c>
      <c r="C40" s="19">
        <v>94.0</v>
      </c>
      <c r="D40" s="19">
        <v>540.0</v>
      </c>
      <c r="E40" s="19">
        <v>268.0</v>
      </c>
      <c r="F40" s="19">
        <v>310.0</v>
      </c>
      <c r="G40" s="19">
        <v>4.6</v>
      </c>
      <c r="H40" s="19">
        <v>10500.0</v>
      </c>
      <c r="I40" s="19">
        <v>4000.0</v>
      </c>
      <c r="J40" s="19">
        <v>3300.0</v>
      </c>
      <c r="K40" s="19">
        <v>12.0</v>
      </c>
      <c r="L40" s="19">
        <v>2100.0</v>
      </c>
      <c r="M40" s="19">
        <v>270.0</v>
      </c>
      <c r="N40" s="19">
        <v>18.5</v>
      </c>
      <c r="O40" s="19">
        <v>5.8</v>
      </c>
      <c r="P40" s="19">
        <v>7.0</v>
      </c>
      <c r="Q40" s="19">
        <v>1.05</v>
      </c>
      <c r="R40" s="19" t="s">
        <v>112</v>
      </c>
      <c r="S40" s="19" t="s">
        <v>113</v>
      </c>
      <c r="T40" s="19" t="s">
        <v>114</v>
      </c>
      <c r="U40" s="19">
        <v>1.57</v>
      </c>
      <c r="V40" s="19">
        <v>12.2</v>
      </c>
      <c r="W40" s="19">
        <v>178.4</v>
      </c>
      <c r="X40" s="19">
        <v>569.0</v>
      </c>
      <c r="Y40" s="19">
        <v>471.4</v>
      </c>
      <c r="Z40" s="19">
        <v>3143.0</v>
      </c>
      <c r="AA40" s="19">
        <v>12.0</v>
      </c>
      <c r="AB40" s="19">
        <v>5731.0</v>
      </c>
      <c r="AC40" s="19">
        <v>2700.0</v>
      </c>
      <c r="AD40" s="19">
        <v>4215.5</v>
      </c>
      <c r="AE40" s="19">
        <v>13153.0</v>
      </c>
      <c r="AF40" s="19">
        <v>1222.0</v>
      </c>
      <c r="AG40" s="19">
        <v>4000.0</v>
      </c>
      <c r="AH40" s="19">
        <v>14.4</v>
      </c>
      <c r="AI40" s="19">
        <v>6.89</v>
      </c>
      <c r="AJ40" s="19">
        <v>7.77</v>
      </c>
      <c r="AK40" s="19">
        <v>118.0</v>
      </c>
      <c r="AL40" s="19">
        <v>2.6015</v>
      </c>
      <c r="AM40" s="19">
        <v>529.11</v>
      </c>
      <c r="AN40" s="19">
        <v>271.25</v>
      </c>
      <c r="AO40" s="19">
        <v>14162.0</v>
      </c>
      <c r="AP40" s="19">
        <v>6672.0</v>
      </c>
      <c r="AQ40" s="19">
        <v>10417.0</v>
      </c>
    </row>
    <row r="41" ht="15.75" customHeight="1">
      <c r="A41" s="23">
        <v>2013.0</v>
      </c>
      <c r="B41" s="23">
        <v>1411.0</v>
      </c>
      <c r="C41" s="23">
        <v>98.0</v>
      </c>
      <c r="D41" s="23">
        <v>524.0</v>
      </c>
      <c r="E41" s="23">
        <v>260.0</v>
      </c>
      <c r="F41" s="23">
        <v>270.0</v>
      </c>
      <c r="G41" s="23">
        <v>5.0</v>
      </c>
      <c r="H41" s="23">
        <v>11500.0</v>
      </c>
      <c r="I41" s="23">
        <v>4200.0</v>
      </c>
      <c r="J41" s="23">
        <v>3000.0</v>
      </c>
      <c r="K41" s="23">
        <v>11.0</v>
      </c>
      <c r="L41" s="23">
        <v>2000.0</v>
      </c>
      <c r="M41" s="23">
        <v>260.0</v>
      </c>
      <c r="N41" s="23">
        <v>17.0</v>
      </c>
      <c r="O41" s="23">
        <v>5.5</v>
      </c>
      <c r="P41" s="23">
        <v>6.5</v>
      </c>
      <c r="Q41" s="23">
        <v>0.95</v>
      </c>
      <c r="R41" s="23" t="s">
        <v>115</v>
      </c>
      <c r="S41" s="23" t="s">
        <v>116</v>
      </c>
      <c r="T41" s="23" t="s">
        <v>117</v>
      </c>
      <c r="U41" s="23">
        <v>1.5</v>
      </c>
      <c r="V41" s="23">
        <v>11.5</v>
      </c>
      <c r="W41" s="23">
        <v>176.5</v>
      </c>
      <c r="X41" s="23">
        <v>545.5</v>
      </c>
      <c r="Y41" s="23">
        <v>461.5</v>
      </c>
      <c r="Z41" s="23">
        <v>3158.0</v>
      </c>
      <c r="AA41" s="23">
        <v>11.0</v>
      </c>
      <c r="AB41" s="23">
        <v>7183.0</v>
      </c>
      <c r="AC41" s="23">
        <v>3215.0</v>
      </c>
      <c r="AD41" s="23">
        <v>5199.0</v>
      </c>
      <c r="AE41" s="23">
        <v>14176.0</v>
      </c>
      <c r="AF41" s="23">
        <v>1317.0</v>
      </c>
      <c r="AG41" s="23">
        <v>4300.0</v>
      </c>
      <c r="AH41" s="23">
        <v>13.0</v>
      </c>
      <c r="AI41" s="23">
        <v>4.46</v>
      </c>
      <c r="AJ41" s="23">
        <v>6.87</v>
      </c>
      <c r="AK41" s="23">
        <v>126.0</v>
      </c>
      <c r="AL41" s="23">
        <v>2.7778</v>
      </c>
      <c r="AM41" s="23">
        <v>477.67</v>
      </c>
      <c r="AN41" s="23">
        <v>175.58</v>
      </c>
      <c r="AO41" s="23">
        <v>17750.0</v>
      </c>
      <c r="AP41" s="23">
        <v>7944.0</v>
      </c>
      <c r="AQ41" s="23">
        <v>12847.0</v>
      </c>
    </row>
    <row r="42" ht="15.75" customHeight="1">
      <c r="A42" s="19">
        <v>2014.0</v>
      </c>
      <c r="B42" s="19">
        <v>1266.0</v>
      </c>
      <c r="C42" s="19">
        <v>93.0</v>
      </c>
      <c r="D42" s="19">
        <v>456.0</v>
      </c>
      <c r="E42" s="19">
        <v>180.0</v>
      </c>
      <c r="F42" s="19">
        <v>220.0</v>
      </c>
      <c r="G42" s="19">
        <v>5.9</v>
      </c>
      <c r="H42" s="19">
        <v>12500.0</v>
      </c>
      <c r="I42" s="19">
        <v>4500.0</v>
      </c>
      <c r="J42" s="19">
        <v>2600.0</v>
      </c>
      <c r="K42" s="19">
        <v>10.0</v>
      </c>
      <c r="L42" s="19">
        <v>1800.0</v>
      </c>
      <c r="M42" s="19">
        <v>240.0</v>
      </c>
      <c r="N42" s="19">
        <v>14.5</v>
      </c>
      <c r="O42" s="19">
        <v>4.8</v>
      </c>
      <c r="P42" s="19">
        <v>5.8</v>
      </c>
      <c r="Q42" s="19">
        <v>0.9</v>
      </c>
      <c r="R42" s="19" t="s">
        <v>118</v>
      </c>
      <c r="S42" s="19" t="s">
        <v>119</v>
      </c>
      <c r="T42" s="19" t="s">
        <v>120</v>
      </c>
      <c r="U42" s="19">
        <v>1.44</v>
      </c>
      <c r="V42" s="19">
        <v>10.8</v>
      </c>
      <c r="W42" s="19">
        <v>179.3</v>
      </c>
      <c r="X42" s="19">
        <v>541.7</v>
      </c>
      <c r="Y42" s="19">
        <v>448.3</v>
      </c>
      <c r="Z42" s="19">
        <v>2889.0</v>
      </c>
      <c r="AA42" s="19">
        <v>10.0</v>
      </c>
      <c r="AB42" s="19">
        <v>7939.0</v>
      </c>
      <c r="AC42" s="19">
        <v>3530.0</v>
      </c>
      <c r="AD42" s="19">
        <v>5734.5</v>
      </c>
      <c r="AE42" s="19">
        <v>16867.0</v>
      </c>
      <c r="AF42" s="19">
        <v>1567.0</v>
      </c>
      <c r="AG42" s="19">
        <v>4700.0</v>
      </c>
      <c r="AH42" s="19">
        <v>10.1</v>
      </c>
      <c r="AI42" s="19">
        <v>3.7</v>
      </c>
      <c r="AJ42" s="19">
        <v>5.99</v>
      </c>
      <c r="AK42" s="19">
        <v>148.0</v>
      </c>
      <c r="AL42" s="19">
        <v>3.2629</v>
      </c>
      <c r="AM42" s="19">
        <v>371.11</v>
      </c>
      <c r="AN42" s="19">
        <v>145.66</v>
      </c>
      <c r="AO42" s="19">
        <v>19618.0</v>
      </c>
      <c r="AP42" s="19">
        <v>8723.0</v>
      </c>
      <c r="AQ42" s="19">
        <v>14170.0</v>
      </c>
    </row>
    <row r="43" ht="15.75" customHeight="1">
      <c r="A43" s="23">
        <v>2015.0</v>
      </c>
      <c r="B43" s="23">
        <v>1160.0</v>
      </c>
      <c r="C43" s="23">
        <v>49.0</v>
      </c>
      <c r="D43" s="23">
        <v>360.0</v>
      </c>
      <c r="E43" s="23">
        <v>170.0</v>
      </c>
      <c r="F43" s="23">
        <v>195.0</v>
      </c>
      <c r="G43" s="23">
        <v>5.8</v>
      </c>
      <c r="H43" s="23">
        <v>12800.0</v>
      </c>
      <c r="I43" s="23">
        <v>4700.0</v>
      </c>
      <c r="J43" s="23">
        <v>2400.0</v>
      </c>
      <c r="K43" s="23">
        <v>9.0</v>
      </c>
      <c r="L43" s="23">
        <v>1700.0</v>
      </c>
      <c r="M43" s="23">
        <v>220.0</v>
      </c>
      <c r="N43" s="23">
        <v>12.5</v>
      </c>
      <c r="O43" s="23">
        <v>4.2</v>
      </c>
      <c r="P43" s="23">
        <v>5.5</v>
      </c>
      <c r="Q43" s="23">
        <v>0.85</v>
      </c>
      <c r="R43" s="23" t="s">
        <v>121</v>
      </c>
      <c r="S43" s="23" t="s">
        <v>122</v>
      </c>
      <c r="T43" s="23" t="s">
        <v>123</v>
      </c>
      <c r="U43" s="23">
        <v>1.41</v>
      </c>
      <c r="V43" s="23">
        <v>10.9</v>
      </c>
      <c r="W43" s="23">
        <v>192.0</v>
      </c>
      <c r="X43" s="23">
        <v>571.4</v>
      </c>
      <c r="Y43" s="23">
        <v>436.4</v>
      </c>
      <c r="Z43" s="23">
        <v>2824.0</v>
      </c>
      <c r="AA43" s="23">
        <v>9.0</v>
      </c>
      <c r="AB43" s="23">
        <v>7633.0</v>
      </c>
      <c r="AC43" s="23">
        <v>3415.0</v>
      </c>
      <c r="AD43" s="23">
        <v>5524.0</v>
      </c>
      <c r="AE43" s="23">
        <v>17900.0</v>
      </c>
      <c r="AF43" s="23">
        <v>1663.0</v>
      </c>
      <c r="AG43" s="23">
        <v>5100.0</v>
      </c>
      <c r="AH43" s="23">
        <v>8.95</v>
      </c>
      <c r="AI43" s="23">
        <v>3.61</v>
      </c>
      <c r="AJ43" s="23">
        <v>4.89</v>
      </c>
      <c r="AK43" s="23">
        <v>148.0</v>
      </c>
      <c r="AL43" s="23">
        <v>3.2629</v>
      </c>
      <c r="AM43" s="23">
        <v>328.86</v>
      </c>
      <c r="AN43" s="23">
        <v>142.12</v>
      </c>
      <c r="AO43" s="23">
        <v>18862.0</v>
      </c>
      <c r="AP43" s="23">
        <v>8439.0</v>
      </c>
      <c r="AQ43" s="23">
        <v>13650.0</v>
      </c>
    </row>
    <row r="44" ht="15.75" customHeight="1">
      <c r="A44" s="19">
        <v>2016.0</v>
      </c>
      <c r="B44" s="19">
        <v>1251.0</v>
      </c>
      <c r="C44" s="19">
        <v>43.0</v>
      </c>
      <c r="D44" s="19">
        <v>380.0</v>
      </c>
      <c r="E44" s="19">
        <v>168.0</v>
      </c>
      <c r="F44" s="19">
        <v>160.0</v>
      </c>
      <c r="G44" s="19">
        <v>5.0</v>
      </c>
      <c r="H44" s="19">
        <v>13000.0</v>
      </c>
      <c r="I44" s="19">
        <v>4900.0</v>
      </c>
      <c r="J44" s="19">
        <v>2500.0</v>
      </c>
      <c r="K44" s="19">
        <v>9.0</v>
      </c>
      <c r="L44" s="19">
        <v>1800.0</v>
      </c>
      <c r="M44" s="19">
        <v>230.0</v>
      </c>
      <c r="N44" s="19">
        <v>12.0</v>
      </c>
      <c r="O44" s="19">
        <v>4.0</v>
      </c>
      <c r="P44" s="19">
        <v>5.0</v>
      </c>
      <c r="Q44" s="19">
        <v>0.88</v>
      </c>
      <c r="R44" s="19" t="s">
        <v>124</v>
      </c>
      <c r="S44" s="19" t="s">
        <v>125</v>
      </c>
      <c r="T44" s="19" t="s">
        <v>126</v>
      </c>
      <c r="U44" s="19">
        <v>1.39</v>
      </c>
      <c r="V44" s="19">
        <v>10.9</v>
      </c>
      <c r="W44" s="19">
        <v>208.3</v>
      </c>
      <c r="X44" s="19">
        <v>625.0</v>
      </c>
      <c r="Y44" s="19">
        <v>500.0</v>
      </c>
      <c r="Z44" s="19">
        <v>2841.0</v>
      </c>
      <c r="AA44" s="19">
        <v>9.0</v>
      </c>
      <c r="AB44" s="19">
        <v>7183.0</v>
      </c>
      <c r="AC44" s="19">
        <v>3233.0</v>
      </c>
      <c r="AD44" s="19">
        <v>5208.0</v>
      </c>
      <c r="AE44" s="19">
        <v>18083.0</v>
      </c>
      <c r="AF44" s="19">
        <v>1680.0</v>
      </c>
      <c r="AG44" s="19">
        <v>5400.0</v>
      </c>
      <c r="AH44" s="19">
        <v>9.47</v>
      </c>
      <c r="AI44" s="19">
        <v>3.36</v>
      </c>
      <c r="AJ44" s="19">
        <v>3.89</v>
      </c>
      <c r="AK44" s="19">
        <v>118.0</v>
      </c>
      <c r="AL44" s="19">
        <v>2.6015</v>
      </c>
      <c r="AM44" s="19">
        <v>347.97</v>
      </c>
      <c r="AN44" s="19">
        <v>132.28</v>
      </c>
      <c r="AO44" s="19">
        <v>17750.0</v>
      </c>
      <c r="AP44" s="19">
        <v>7989.0</v>
      </c>
      <c r="AQ44" s="19">
        <v>12869.0</v>
      </c>
    </row>
    <row r="45" ht="15.75" customHeight="1">
      <c r="A45" s="23">
        <v>2017.0</v>
      </c>
      <c r="B45" s="23">
        <v>1257.0</v>
      </c>
      <c r="C45" s="23">
        <v>51.0</v>
      </c>
      <c r="D45" s="23">
        <v>380.0</v>
      </c>
      <c r="E45" s="23">
        <v>155.0</v>
      </c>
      <c r="F45" s="23">
        <v>165.0</v>
      </c>
      <c r="G45" s="23">
        <v>4.8</v>
      </c>
      <c r="H45" s="23">
        <v>14000.0</v>
      </c>
      <c r="I45" s="23">
        <v>5200.0</v>
      </c>
      <c r="J45" s="23">
        <v>2700.0</v>
      </c>
      <c r="K45" s="23">
        <v>10.0</v>
      </c>
      <c r="L45" s="23">
        <v>2100.0</v>
      </c>
      <c r="M45" s="23">
        <v>270.0</v>
      </c>
      <c r="N45" s="23">
        <v>13.5</v>
      </c>
      <c r="O45" s="23">
        <v>4.3</v>
      </c>
      <c r="P45" s="23">
        <v>5.5</v>
      </c>
      <c r="Q45" s="23">
        <v>0.9</v>
      </c>
      <c r="R45" s="23" t="s">
        <v>127</v>
      </c>
      <c r="S45" s="23" t="s">
        <v>128</v>
      </c>
      <c r="T45" s="23" t="s">
        <v>129</v>
      </c>
      <c r="U45" s="23">
        <v>1.29</v>
      </c>
      <c r="V45" s="23">
        <v>10.0</v>
      </c>
      <c r="W45" s="23">
        <v>200.0</v>
      </c>
      <c r="X45" s="23">
        <v>627.9</v>
      </c>
      <c r="Y45" s="23">
        <v>490.9</v>
      </c>
      <c r="Z45" s="23">
        <v>3000.0</v>
      </c>
      <c r="AA45" s="23">
        <v>10.0</v>
      </c>
      <c r="AB45" s="23">
        <v>7183.0</v>
      </c>
      <c r="AC45" s="23">
        <v>3200.0</v>
      </c>
      <c r="AD45" s="23">
        <v>5191.5</v>
      </c>
      <c r="AE45" s="23">
        <v>18406.0</v>
      </c>
      <c r="AF45" s="23">
        <v>1710.0</v>
      </c>
      <c r="AG45" s="23">
        <v>5700.0</v>
      </c>
      <c r="AH45" s="23">
        <v>9.33</v>
      </c>
      <c r="AI45" s="23">
        <v>3.36</v>
      </c>
      <c r="AJ45" s="23">
        <v>4.72</v>
      </c>
      <c r="AK45" s="23">
        <v>118.0</v>
      </c>
      <c r="AL45" s="23">
        <v>2.6015</v>
      </c>
      <c r="AM45" s="23">
        <v>342.82</v>
      </c>
      <c r="AN45" s="23">
        <v>132.28</v>
      </c>
      <c r="AO45" s="23">
        <v>17750.0</v>
      </c>
      <c r="AP45" s="23">
        <v>7907.0</v>
      </c>
      <c r="AQ45" s="23">
        <v>12828.0</v>
      </c>
    </row>
    <row r="46" ht="15.75" customHeight="1">
      <c r="A46" s="19">
        <v>2018.0</v>
      </c>
      <c r="B46" s="19">
        <v>1268.0</v>
      </c>
      <c r="C46" s="19">
        <v>65.0</v>
      </c>
      <c r="D46" s="19">
        <v>345.0</v>
      </c>
      <c r="E46" s="19">
        <v>167.0</v>
      </c>
      <c r="F46" s="19">
        <v>200.0</v>
      </c>
      <c r="G46" s="19">
        <v>4.7</v>
      </c>
      <c r="H46" s="19">
        <v>14800.0</v>
      </c>
      <c r="I46" s="19">
        <v>5500.0</v>
      </c>
      <c r="J46" s="19">
        <v>2500.0</v>
      </c>
      <c r="K46" s="19">
        <v>9.0</v>
      </c>
      <c r="L46" s="19">
        <v>2300.0</v>
      </c>
      <c r="M46" s="19">
        <v>290.0</v>
      </c>
      <c r="N46" s="19">
        <v>11.5</v>
      </c>
      <c r="O46" s="19">
        <v>3.8</v>
      </c>
      <c r="P46" s="19">
        <v>5.0</v>
      </c>
      <c r="Q46" s="19">
        <v>0.8</v>
      </c>
      <c r="R46" s="19" t="s">
        <v>130</v>
      </c>
      <c r="S46" s="19" t="s">
        <v>131</v>
      </c>
      <c r="T46" s="19" t="s">
        <v>132</v>
      </c>
      <c r="U46" s="19">
        <v>1.09</v>
      </c>
      <c r="V46" s="19">
        <v>8.6</v>
      </c>
      <c r="W46" s="19">
        <v>217.4</v>
      </c>
      <c r="X46" s="19">
        <v>657.9</v>
      </c>
      <c r="Y46" s="19">
        <v>500.0</v>
      </c>
      <c r="Z46" s="19">
        <v>3125.0</v>
      </c>
      <c r="AA46" s="19">
        <v>9.0</v>
      </c>
      <c r="AB46" s="19">
        <v>7264.0</v>
      </c>
      <c r="AC46" s="19">
        <v>3290.0</v>
      </c>
      <c r="AD46" s="19">
        <v>5277.0</v>
      </c>
      <c r="AE46" s="19">
        <v>18514.0</v>
      </c>
      <c r="AF46" s="19">
        <v>1720.0</v>
      </c>
      <c r="AG46" s="19">
        <v>5900.0</v>
      </c>
      <c r="AH46" s="19">
        <v>8.48</v>
      </c>
      <c r="AI46" s="19">
        <v>3.61</v>
      </c>
      <c r="AJ46" s="19">
        <v>5.16</v>
      </c>
      <c r="AK46" s="19">
        <v>116.0</v>
      </c>
      <c r="AL46" s="19">
        <v>2.5574</v>
      </c>
      <c r="AM46" s="19">
        <v>311.59</v>
      </c>
      <c r="AN46" s="19">
        <v>142.12</v>
      </c>
      <c r="AO46" s="19">
        <v>17950.0</v>
      </c>
      <c r="AP46" s="19">
        <v>8130.0</v>
      </c>
      <c r="AQ46" s="19">
        <v>13040.0</v>
      </c>
    </row>
    <row r="47" ht="15.75" customHeight="1">
      <c r="A47" s="23">
        <v>2019.0</v>
      </c>
      <c r="B47" s="23">
        <v>1393.0</v>
      </c>
      <c r="C47" s="23">
        <v>57.0</v>
      </c>
      <c r="D47" s="23">
        <v>340.0</v>
      </c>
      <c r="E47" s="23">
        <v>172.0</v>
      </c>
      <c r="F47" s="23">
        <v>185.0</v>
      </c>
      <c r="G47" s="23">
        <v>4.8</v>
      </c>
      <c r="H47" s="23">
        <v>15500.0</v>
      </c>
      <c r="I47" s="23">
        <v>5800.0</v>
      </c>
      <c r="J47" s="23">
        <v>2200.0</v>
      </c>
      <c r="K47" s="23">
        <v>8.0</v>
      </c>
      <c r="L47" s="23">
        <v>2000.0</v>
      </c>
      <c r="M47" s="23">
        <v>250.0</v>
      </c>
      <c r="N47" s="23">
        <v>10.5</v>
      </c>
      <c r="O47" s="23">
        <v>3.5</v>
      </c>
      <c r="P47" s="23">
        <v>4.8</v>
      </c>
      <c r="Q47" s="23">
        <v>0.75</v>
      </c>
      <c r="R47" s="23" t="s">
        <v>133</v>
      </c>
      <c r="S47" s="23" t="s">
        <v>134</v>
      </c>
      <c r="T47" s="23" t="s">
        <v>135</v>
      </c>
      <c r="U47" s="23">
        <v>1.1</v>
      </c>
      <c r="V47" s="23">
        <v>8.8</v>
      </c>
      <c r="W47" s="23">
        <v>209.5</v>
      </c>
      <c r="X47" s="23">
        <v>628.6</v>
      </c>
      <c r="Y47" s="23">
        <v>458.3</v>
      </c>
      <c r="Z47" s="23">
        <v>2933.0</v>
      </c>
      <c r="AA47" s="23">
        <v>8.0</v>
      </c>
      <c r="AB47" s="23">
        <v>7264.0</v>
      </c>
      <c r="AC47" s="23">
        <v>3326.0</v>
      </c>
      <c r="AD47" s="23">
        <v>5295.0</v>
      </c>
      <c r="AE47" s="23">
        <v>18729.0</v>
      </c>
      <c r="AF47" s="23">
        <v>1740.0</v>
      </c>
      <c r="AG47" s="23">
        <v>6100.0</v>
      </c>
      <c r="AH47" s="23">
        <v>8.57</v>
      </c>
      <c r="AI47" s="23">
        <v>3.56</v>
      </c>
      <c r="AJ47" s="23">
        <v>4.58</v>
      </c>
      <c r="AK47" s="23">
        <v>116.0</v>
      </c>
      <c r="AL47" s="23">
        <v>2.5574</v>
      </c>
      <c r="AM47" s="23">
        <v>314.9</v>
      </c>
      <c r="AN47" s="23">
        <v>140.15</v>
      </c>
      <c r="AO47" s="23">
        <v>17950.0</v>
      </c>
      <c r="AP47" s="23">
        <v>8219.0</v>
      </c>
      <c r="AQ47" s="23">
        <v>13084.0</v>
      </c>
    </row>
    <row r="48" ht="15.75" customHeight="1">
      <c r="A48" s="19">
        <v>2020.0</v>
      </c>
      <c r="B48" s="19">
        <v>1770.0</v>
      </c>
      <c r="C48" s="19">
        <v>41.0</v>
      </c>
      <c r="D48" s="19">
        <v>340.0</v>
      </c>
      <c r="E48" s="19">
        <v>172.0</v>
      </c>
      <c r="F48" s="19">
        <v>218.0</v>
      </c>
      <c r="G48" s="19">
        <v>4.7</v>
      </c>
      <c r="H48" s="19">
        <v>14000.0</v>
      </c>
      <c r="I48" s="19">
        <v>5000.0</v>
      </c>
      <c r="J48" s="19">
        <v>2100.0</v>
      </c>
      <c r="K48" s="19">
        <v>9.0</v>
      </c>
      <c r="L48" s="19">
        <v>1700.0</v>
      </c>
      <c r="M48" s="19">
        <v>220.0</v>
      </c>
      <c r="N48" s="19">
        <v>14.5</v>
      </c>
      <c r="O48" s="19">
        <v>5.0</v>
      </c>
      <c r="P48" s="19">
        <v>6.0</v>
      </c>
      <c r="Q48" s="19">
        <v>1.0</v>
      </c>
      <c r="R48" s="19" t="s">
        <v>136</v>
      </c>
      <c r="S48" s="19" t="s">
        <v>137</v>
      </c>
      <c r="T48" s="19" t="s">
        <v>138</v>
      </c>
      <c r="U48" s="19">
        <v>1.24</v>
      </c>
      <c r="V48" s="19">
        <v>9.5</v>
      </c>
      <c r="W48" s="19">
        <v>144.8</v>
      </c>
      <c r="X48" s="19">
        <v>420.0</v>
      </c>
      <c r="Y48" s="19">
        <v>350.0</v>
      </c>
      <c r="Z48" s="19">
        <v>2100.0</v>
      </c>
      <c r="AA48" s="19">
        <v>9.0</v>
      </c>
      <c r="AB48" s="19">
        <v>7160.0</v>
      </c>
      <c r="AC48" s="19">
        <v>3330.0</v>
      </c>
      <c r="AD48" s="19">
        <v>5245.0</v>
      </c>
      <c r="AE48" s="19">
        <v>17438.0</v>
      </c>
      <c r="AF48" s="19">
        <v>1620.0</v>
      </c>
      <c r="AG48" s="19">
        <v>5800.0</v>
      </c>
      <c r="AH48" s="19">
        <v>10.8</v>
      </c>
      <c r="AI48" s="19">
        <v>4.53</v>
      </c>
      <c r="AJ48" s="19">
        <v>5.05</v>
      </c>
      <c r="AK48" s="19">
        <v>110.0</v>
      </c>
      <c r="AL48" s="19">
        <v>2.4251</v>
      </c>
      <c r="AM48" s="19">
        <v>396.84</v>
      </c>
      <c r="AN48" s="19">
        <v>178.34</v>
      </c>
      <c r="AO48" s="19">
        <v>17693.0</v>
      </c>
      <c r="AP48" s="19">
        <v>8229.0</v>
      </c>
      <c r="AQ48" s="19">
        <v>12961.0</v>
      </c>
    </row>
    <row r="49" ht="15.75" customHeight="1">
      <c r="A49" s="23">
        <v>2021.0</v>
      </c>
      <c r="B49" s="23">
        <v>1799.0</v>
      </c>
      <c r="C49" s="23">
        <v>68.0</v>
      </c>
      <c r="D49" s="23">
        <v>486.0</v>
      </c>
      <c r="E49" s="23">
        <v>240.0</v>
      </c>
      <c r="F49" s="23">
        <v>270.0</v>
      </c>
      <c r="G49" s="23">
        <v>5.7</v>
      </c>
      <c r="H49" s="23">
        <v>15000.0</v>
      </c>
      <c r="I49" s="23">
        <v>5400.0</v>
      </c>
      <c r="J49" s="23">
        <v>2400.0</v>
      </c>
      <c r="K49" s="23">
        <v>11.0</v>
      </c>
      <c r="L49" s="23">
        <v>1700.0</v>
      </c>
      <c r="M49" s="23">
        <v>225.0</v>
      </c>
      <c r="N49" s="23">
        <v>17.0</v>
      </c>
      <c r="O49" s="23">
        <v>6.0</v>
      </c>
      <c r="P49" s="23">
        <v>7.0</v>
      </c>
      <c r="Q49" s="23">
        <v>1.6</v>
      </c>
      <c r="R49" s="23" t="s">
        <v>139</v>
      </c>
      <c r="S49" s="23" t="s">
        <v>140</v>
      </c>
      <c r="T49" s="23" t="s">
        <v>141</v>
      </c>
      <c r="U49" s="23">
        <v>1.41</v>
      </c>
      <c r="V49" s="23">
        <v>10.7</v>
      </c>
      <c r="W49" s="23">
        <v>141.2</v>
      </c>
      <c r="X49" s="23">
        <v>400.0</v>
      </c>
      <c r="Y49" s="23">
        <v>342.9</v>
      </c>
      <c r="Z49" s="23">
        <v>1500.0</v>
      </c>
      <c r="AA49" s="23">
        <v>11.0</v>
      </c>
      <c r="AB49" s="23">
        <v>7560.0</v>
      </c>
      <c r="AC49" s="23">
        <v>3561.0</v>
      </c>
      <c r="AD49" s="23">
        <v>5560.5</v>
      </c>
      <c r="AE49" s="23">
        <v>18449.0</v>
      </c>
      <c r="AF49" s="23">
        <v>1714.0</v>
      </c>
      <c r="AG49" s="23">
        <v>5900.0</v>
      </c>
      <c r="AH49" s="23">
        <v>13.3</v>
      </c>
      <c r="AI49" s="23">
        <v>5.45</v>
      </c>
      <c r="AJ49" s="23">
        <v>7.77</v>
      </c>
      <c r="AK49" s="23">
        <v>136.0</v>
      </c>
      <c r="AL49" s="23">
        <v>2.9983</v>
      </c>
      <c r="AM49" s="23">
        <v>488.7</v>
      </c>
      <c r="AN49" s="23">
        <v>214.56</v>
      </c>
      <c r="AO49" s="23">
        <v>18681.0</v>
      </c>
      <c r="AP49" s="23">
        <v>8799.0</v>
      </c>
      <c r="AQ49" s="23">
        <v>13740.0</v>
      </c>
    </row>
    <row r="50" ht="15.75" customHeight="1">
      <c r="A50" s="19">
        <v>2022.0</v>
      </c>
      <c r="B50" s="19">
        <v>1800.0</v>
      </c>
      <c r="C50" s="19">
        <v>95.0</v>
      </c>
      <c r="D50" s="19">
        <v>566.0</v>
      </c>
      <c r="E50" s="19">
        <v>278.0</v>
      </c>
      <c r="F50" s="19">
        <v>365.0</v>
      </c>
      <c r="G50" s="19">
        <v>6.2</v>
      </c>
      <c r="H50" s="19">
        <v>17000.0</v>
      </c>
      <c r="I50" s="19">
        <v>6200.0</v>
      </c>
      <c r="J50" s="19">
        <v>2600.0</v>
      </c>
      <c r="K50" s="19">
        <v>12.0</v>
      </c>
      <c r="L50" s="19">
        <v>1750.0</v>
      </c>
      <c r="M50" s="19">
        <v>240.0</v>
      </c>
      <c r="N50" s="19">
        <v>19.0</v>
      </c>
      <c r="O50" s="19">
        <v>7.0</v>
      </c>
      <c r="P50" s="19">
        <v>8.5</v>
      </c>
      <c r="Q50" s="19">
        <v>1.8</v>
      </c>
      <c r="R50" s="19" t="s">
        <v>142</v>
      </c>
      <c r="S50" s="19" t="s">
        <v>143</v>
      </c>
      <c r="T50" s="19" t="s">
        <v>144</v>
      </c>
      <c r="U50" s="19">
        <v>1.49</v>
      </c>
      <c r="V50" s="19">
        <v>10.8</v>
      </c>
      <c r="W50" s="19">
        <v>136.8</v>
      </c>
      <c r="X50" s="19">
        <v>371.4</v>
      </c>
      <c r="Y50" s="19">
        <v>305.9</v>
      </c>
      <c r="Z50" s="19">
        <v>1444.0</v>
      </c>
      <c r="AA50" s="19">
        <v>12.0</v>
      </c>
      <c r="AB50" s="19">
        <v>9751.0</v>
      </c>
      <c r="AC50" s="19">
        <v>4015.0</v>
      </c>
      <c r="AD50" s="19">
        <v>6883.0</v>
      </c>
      <c r="AE50" s="19">
        <v>20451.0</v>
      </c>
      <c r="AF50" s="19">
        <v>1900.0</v>
      </c>
      <c r="AG50" s="19">
        <v>6600.0</v>
      </c>
      <c r="AH50" s="19">
        <v>14.2</v>
      </c>
      <c r="AI50" s="19">
        <v>6.54</v>
      </c>
      <c r="AJ50" s="19">
        <v>9.15</v>
      </c>
      <c r="AK50" s="19">
        <v>152.0</v>
      </c>
      <c r="AL50" s="19">
        <v>3.351</v>
      </c>
      <c r="AM50" s="19">
        <v>521.76</v>
      </c>
      <c r="AN50" s="19">
        <v>257.47</v>
      </c>
      <c r="AO50" s="19">
        <v>24095.0</v>
      </c>
      <c r="AP50" s="19">
        <v>9921.0</v>
      </c>
      <c r="AQ50" s="19">
        <v>17008.0</v>
      </c>
    </row>
    <row r="51" ht="15.75" customHeight="1">
      <c r="A51" s="23">
        <v>2023.0</v>
      </c>
      <c r="B51" s="23">
        <v>1941.0</v>
      </c>
      <c r="C51" s="23">
        <v>77.0</v>
      </c>
      <c r="D51" s="23">
        <v>500.0</v>
      </c>
      <c r="E51" s="23">
        <v>218.0</v>
      </c>
      <c r="F51" s="23">
        <v>265.0</v>
      </c>
      <c r="G51" s="23">
        <v>6.4</v>
      </c>
      <c r="H51" s="23">
        <v>18000.0</v>
      </c>
      <c r="I51" s="23">
        <v>6800.0</v>
      </c>
      <c r="J51" s="23">
        <v>2800.0</v>
      </c>
      <c r="K51" s="23">
        <v>11.0</v>
      </c>
      <c r="L51" s="23">
        <v>1800.0</v>
      </c>
      <c r="M51" s="23">
        <v>260.0</v>
      </c>
      <c r="N51" s="23">
        <v>14.0</v>
      </c>
      <c r="O51" s="23">
        <v>5.5</v>
      </c>
      <c r="P51" s="23">
        <v>7.0</v>
      </c>
      <c r="Q51" s="23">
        <v>2.0</v>
      </c>
      <c r="R51" s="23" t="s">
        <v>145</v>
      </c>
      <c r="S51" s="23" t="s">
        <v>146</v>
      </c>
      <c r="T51" s="23" t="s">
        <v>147</v>
      </c>
      <c r="U51" s="23">
        <v>1.56</v>
      </c>
      <c r="V51" s="23">
        <v>10.8</v>
      </c>
      <c r="W51" s="23">
        <v>200.0</v>
      </c>
      <c r="X51" s="23">
        <v>509.1</v>
      </c>
      <c r="Y51" s="23">
        <v>400.0</v>
      </c>
      <c r="Z51" s="23">
        <v>1400.0</v>
      </c>
      <c r="AA51" s="23">
        <v>11.0</v>
      </c>
      <c r="AB51" s="23">
        <v>11835.0</v>
      </c>
      <c r="AC51" s="23">
        <v>4015.0</v>
      </c>
      <c r="AD51" s="23">
        <v>7925.0</v>
      </c>
      <c r="AE51" s="23">
        <v>22066.0</v>
      </c>
      <c r="AF51" s="23">
        <v>2050.0</v>
      </c>
      <c r="AG51" s="23">
        <v>7000.0</v>
      </c>
      <c r="AH51" s="23">
        <v>12.55</v>
      </c>
      <c r="AI51" s="23">
        <v>4.75</v>
      </c>
      <c r="AJ51" s="23">
        <v>6.43</v>
      </c>
      <c r="AK51" s="23">
        <v>175.0</v>
      </c>
      <c r="AL51" s="23">
        <v>3.8581</v>
      </c>
      <c r="AM51" s="23">
        <v>461.14</v>
      </c>
      <c r="AN51" s="23">
        <v>187.0</v>
      </c>
      <c r="AO51" s="23">
        <v>29245.0</v>
      </c>
      <c r="AP51" s="23">
        <v>9921.0</v>
      </c>
      <c r="AQ51" s="23">
        <v>19583.0</v>
      </c>
    </row>
    <row r="52" ht="15.75" customHeight="1">
      <c r="A52" s="19">
        <v>2024.0</v>
      </c>
      <c r="B52" s="19">
        <v>2200.0</v>
      </c>
      <c r="C52" s="19">
        <v>75.0</v>
      </c>
      <c r="D52" s="19">
        <v>420.0</v>
      </c>
      <c r="E52" s="19">
        <v>190.0</v>
      </c>
      <c r="F52" s="19">
        <v>230.0</v>
      </c>
      <c r="G52" s="19">
        <v>6.8</v>
      </c>
      <c r="H52" s="19">
        <v>19000.0</v>
      </c>
      <c r="I52" s="19">
        <v>7200.0</v>
      </c>
      <c r="J52" s="19">
        <v>4000.0</v>
      </c>
      <c r="K52" s="19">
        <v>12.0</v>
      </c>
      <c r="L52" s="19">
        <v>2200.0</v>
      </c>
      <c r="M52" s="19">
        <v>400.0</v>
      </c>
      <c r="N52" s="19">
        <v>16.5</v>
      </c>
      <c r="O52" s="19">
        <v>5.8</v>
      </c>
      <c r="P52" s="19">
        <v>7.5</v>
      </c>
      <c r="Q52" s="19">
        <v>2.5</v>
      </c>
      <c r="R52" s="19" t="s">
        <v>148</v>
      </c>
      <c r="S52" s="19" t="s">
        <v>149</v>
      </c>
      <c r="T52" s="19" t="s">
        <v>150</v>
      </c>
      <c r="U52" s="19">
        <v>1.82</v>
      </c>
      <c r="V52" s="19">
        <v>10.0</v>
      </c>
      <c r="W52" s="19">
        <v>242.4</v>
      </c>
      <c r="X52" s="19">
        <v>689.7</v>
      </c>
      <c r="Y52" s="19">
        <v>533.3</v>
      </c>
      <c r="Z52" s="19">
        <v>1600.0</v>
      </c>
      <c r="AA52" s="19">
        <v>12.0</v>
      </c>
      <c r="AB52" s="19">
        <v>13695.0</v>
      </c>
      <c r="AC52" s="19">
        <v>4080.0</v>
      </c>
      <c r="AD52" s="19">
        <v>8887.5</v>
      </c>
      <c r="AE52" s="19">
        <v>22593.0</v>
      </c>
      <c r="AF52" s="19">
        <v>2099.0</v>
      </c>
      <c r="AG52" s="19">
        <v>7500.0</v>
      </c>
      <c r="AH52" s="19">
        <v>11.55</v>
      </c>
      <c r="AI52" s="19">
        <v>4.4</v>
      </c>
      <c r="AJ52" s="19">
        <v>5.5</v>
      </c>
      <c r="AK52" s="19">
        <v>193.0</v>
      </c>
      <c r="AL52" s="19">
        <v>4.2549</v>
      </c>
      <c r="AM52" s="19">
        <v>424.39</v>
      </c>
      <c r="AN52" s="19">
        <v>173.22</v>
      </c>
      <c r="AO52" s="19">
        <v>33841.0</v>
      </c>
      <c r="AP52" s="19">
        <v>10082.0</v>
      </c>
      <c r="AQ52" s="19">
        <v>21961.0</v>
      </c>
    </row>
    <row r="53" ht="15.75" customHeight="1">
      <c r="A53" s="23">
        <v>2025.0</v>
      </c>
      <c r="B53" s="23">
        <v>3114.0</v>
      </c>
      <c r="C53" s="23">
        <v>67.0</v>
      </c>
      <c r="D53" s="23"/>
      <c r="E53" s="23"/>
      <c r="F53" s="23"/>
      <c r="G53" s="23"/>
      <c r="H53" s="23"/>
      <c r="I53" s="23"/>
      <c r="J53" s="23">
        <v>5500.0</v>
      </c>
      <c r="K53" s="23">
        <v>13.0</v>
      </c>
      <c r="L53" s="23">
        <v>2500.0</v>
      </c>
      <c r="M53" s="23">
        <v>600.0</v>
      </c>
      <c r="N53" s="23">
        <v>17.5</v>
      </c>
      <c r="O53" s="23">
        <v>6.0</v>
      </c>
      <c r="P53" s="23">
        <v>7.8</v>
      </c>
      <c r="Q53" s="23">
        <v>2.8</v>
      </c>
      <c r="R53" s="23" t="s">
        <v>151</v>
      </c>
      <c r="S53" s="23" t="s">
        <v>152</v>
      </c>
      <c r="T53" s="23" t="s">
        <v>153</v>
      </c>
      <c r="U53" s="23">
        <v>2.2</v>
      </c>
      <c r="V53" s="23">
        <v>9.2</v>
      </c>
      <c r="W53" s="23">
        <v>314.3</v>
      </c>
      <c r="X53" s="23">
        <v>916.7</v>
      </c>
      <c r="Y53" s="23">
        <v>705.1</v>
      </c>
      <c r="Z53" s="23">
        <v>1964.0</v>
      </c>
      <c r="AA53" s="23">
        <v>13.0</v>
      </c>
      <c r="AB53" s="23">
        <v>7623.0</v>
      </c>
      <c r="AC53" s="23">
        <v>3905.0</v>
      </c>
      <c r="AD53" s="23">
        <v>5764.0</v>
      </c>
      <c r="AE53" s="23">
        <v>22593.0</v>
      </c>
      <c r="AF53" s="23">
        <v>2099.0</v>
      </c>
      <c r="AG53" s="23">
        <v>7800.0</v>
      </c>
      <c r="AH53" s="23">
        <v>10.2</v>
      </c>
      <c r="AI53" s="23">
        <v>4.25</v>
      </c>
      <c r="AJ53" s="23">
        <v>5.3</v>
      </c>
      <c r="AK53" s="23">
        <v>245.0</v>
      </c>
      <c r="AL53" s="23">
        <v>5.4014</v>
      </c>
      <c r="AM53" s="23">
        <v>374.79</v>
      </c>
      <c r="AN53" s="23">
        <v>167.31</v>
      </c>
      <c r="AO53" s="23">
        <v>18837.0</v>
      </c>
      <c r="AP53" s="23">
        <v>9649.0</v>
      </c>
      <c r="AQ53" s="23">
        <v>14243.0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0.0"/>
    <col customWidth="1" min="3" max="3" width="30.0"/>
    <col customWidth="1" min="4" max="4" width="22.0"/>
    <col customWidth="1" min="5" max="26" width="8.71"/>
  </cols>
  <sheetData>
    <row r="1">
      <c r="A1" s="24" t="s">
        <v>197</v>
      </c>
    </row>
    <row r="2">
      <c r="A2" s="25" t="s">
        <v>198</v>
      </c>
      <c r="B2" s="25" t="s">
        <v>199</v>
      </c>
      <c r="C2" s="25" t="s">
        <v>200</v>
      </c>
      <c r="D2" s="25" t="s">
        <v>201</v>
      </c>
    </row>
    <row r="3">
      <c r="A3" s="26" t="s">
        <v>202</v>
      </c>
      <c r="B3" s="5"/>
      <c r="C3" s="5"/>
      <c r="D3" s="3"/>
    </row>
    <row r="4">
      <c r="A4" s="27" t="s">
        <v>155</v>
      </c>
      <c r="B4" s="19" t="s">
        <v>203</v>
      </c>
      <c r="C4" s="19" t="s">
        <v>204</v>
      </c>
      <c r="D4" s="19" t="s">
        <v>205</v>
      </c>
    </row>
    <row r="5">
      <c r="A5" s="27" t="s">
        <v>156</v>
      </c>
      <c r="B5" s="19" t="s">
        <v>206</v>
      </c>
      <c r="C5" s="19" t="s">
        <v>204</v>
      </c>
      <c r="D5" s="19" t="s">
        <v>207</v>
      </c>
    </row>
    <row r="6">
      <c r="A6" s="26" t="s">
        <v>208</v>
      </c>
      <c r="B6" s="5"/>
      <c r="C6" s="5"/>
      <c r="D6" s="3"/>
    </row>
    <row r="7">
      <c r="A7" s="27" t="s">
        <v>163</v>
      </c>
      <c r="B7" s="19" t="s">
        <v>209</v>
      </c>
      <c r="C7" s="19" t="s">
        <v>210</v>
      </c>
      <c r="D7" s="19" t="s">
        <v>211</v>
      </c>
    </row>
    <row r="8">
      <c r="A8" s="27" t="s">
        <v>164</v>
      </c>
      <c r="B8" s="19" t="s">
        <v>212</v>
      </c>
      <c r="C8" s="19" t="s">
        <v>213</v>
      </c>
      <c r="D8" s="19" t="s">
        <v>214</v>
      </c>
    </row>
    <row r="9">
      <c r="A9" s="26" t="s">
        <v>215</v>
      </c>
      <c r="B9" s="5"/>
      <c r="C9" s="5"/>
      <c r="D9" s="3"/>
    </row>
    <row r="10">
      <c r="A10" s="27" t="s">
        <v>165</v>
      </c>
      <c r="B10" s="19" t="s">
        <v>216</v>
      </c>
      <c r="C10" s="19" t="s">
        <v>217</v>
      </c>
      <c r="D10" s="19" t="s">
        <v>218</v>
      </c>
    </row>
    <row r="11">
      <c r="A11" s="27" t="s">
        <v>166</v>
      </c>
      <c r="B11" s="19" t="s">
        <v>219</v>
      </c>
      <c r="C11" s="19" t="s">
        <v>217</v>
      </c>
      <c r="D11" s="19" t="s">
        <v>220</v>
      </c>
    </row>
    <row r="12">
      <c r="A12" s="26" t="s">
        <v>221</v>
      </c>
      <c r="B12" s="5"/>
      <c r="C12" s="5"/>
      <c r="D12" s="3"/>
    </row>
    <row r="13">
      <c r="A13" s="27" t="s">
        <v>167</v>
      </c>
      <c r="B13" s="19" t="s">
        <v>222</v>
      </c>
      <c r="C13" s="19" t="s">
        <v>223</v>
      </c>
      <c r="D13" s="19" t="s">
        <v>224</v>
      </c>
    </row>
    <row r="14">
      <c r="A14" s="27" t="s">
        <v>168</v>
      </c>
      <c r="B14" s="19" t="s">
        <v>225</v>
      </c>
      <c r="C14" s="19" t="s">
        <v>223</v>
      </c>
      <c r="D14" s="19" t="s">
        <v>226</v>
      </c>
    </row>
    <row r="15">
      <c r="A15" s="27" t="s">
        <v>169</v>
      </c>
      <c r="B15" s="19" t="s">
        <v>227</v>
      </c>
      <c r="C15" s="19" t="s">
        <v>223</v>
      </c>
      <c r="D15" s="19" t="s">
        <v>226</v>
      </c>
    </row>
    <row r="16">
      <c r="A16" s="26" t="s">
        <v>228</v>
      </c>
      <c r="B16" s="5"/>
      <c r="C16" s="5"/>
      <c r="D16" s="3"/>
    </row>
    <row r="17">
      <c r="A17" s="27" t="s">
        <v>170</v>
      </c>
      <c r="B17" s="19" t="s">
        <v>229</v>
      </c>
      <c r="C17" s="19" t="s">
        <v>230</v>
      </c>
      <c r="D17" s="19" t="s">
        <v>231</v>
      </c>
    </row>
    <row r="18">
      <c r="A18" s="26" t="s">
        <v>232</v>
      </c>
      <c r="B18" s="5"/>
      <c r="C18" s="5"/>
      <c r="D18" s="3"/>
    </row>
    <row r="19">
      <c r="A19" s="27" t="s">
        <v>174</v>
      </c>
      <c r="B19" s="19" t="s">
        <v>233</v>
      </c>
      <c r="C19" s="19" t="s">
        <v>234</v>
      </c>
      <c r="D19" s="19" t="s">
        <v>235</v>
      </c>
    </row>
    <row r="20">
      <c r="A20" s="27" t="s">
        <v>175</v>
      </c>
      <c r="B20" s="19" t="s">
        <v>236</v>
      </c>
      <c r="C20" s="19" t="s">
        <v>234</v>
      </c>
      <c r="D20" s="19" t="s">
        <v>237</v>
      </c>
    </row>
    <row r="21" ht="15.75" customHeight="1">
      <c r="A21" s="27" t="s">
        <v>176</v>
      </c>
      <c r="B21" s="19" t="s">
        <v>238</v>
      </c>
      <c r="C21" s="19" t="s">
        <v>234</v>
      </c>
      <c r="D21" s="19" t="s">
        <v>239</v>
      </c>
    </row>
    <row r="22" ht="15.75" customHeight="1">
      <c r="A22" s="27" t="s">
        <v>177</v>
      </c>
      <c r="B22" s="19" t="s">
        <v>240</v>
      </c>
      <c r="C22" s="19" t="s">
        <v>234</v>
      </c>
      <c r="D22" s="19" t="s">
        <v>239</v>
      </c>
    </row>
    <row r="23" ht="15.75" customHeight="1">
      <c r="A23" s="27" t="s">
        <v>178</v>
      </c>
      <c r="B23" s="19" t="s">
        <v>241</v>
      </c>
      <c r="C23" s="19" t="s">
        <v>234</v>
      </c>
      <c r="D23" s="19" t="s">
        <v>239</v>
      </c>
    </row>
    <row r="24" ht="15.75" customHeight="1">
      <c r="A24" s="27" t="s">
        <v>179</v>
      </c>
      <c r="B24" s="19" t="s">
        <v>242</v>
      </c>
      <c r="C24" s="19" t="s">
        <v>234</v>
      </c>
      <c r="D24" s="19" t="s">
        <v>243</v>
      </c>
    </row>
    <row r="25" ht="15.75" customHeight="1">
      <c r="A25" s="26" t="s">
        <v>244</v>
      </c>
      <c r="B25" s="5"/>
      <c r="C25" s="5"/>
      <c r="D25" s="3"/>
    </row>
    <row r="26" ht="15.75" customHeight="1">
      <c r="A26" s="27" t="s">
        <v>181</v>
      </c>
      <c r="B26" s="19" t="s">
        <v>245</v>
      </c>
      <c r="C26" s="19" t="s">
        <v>246</v>
      </c>
      <c r="D26" s="19" t="s">
        <v>247</v>
      </c>
    </row>
    <row r="27" ht="15.75" customHeight="1">
      <c r="A27" s="27" t="s">
        <v>182</v>
      </c>
      <c r="B27" s="19" t="s">
        <v>248</v>
      </c>
      <c r="C27" s="19" t="s">
        <v>249</v>
      </c>
      <c r="D27" s="19" t="s">
        <v>247</v>
      </c>
    </row>
    <row r="28" ht="15.75" customHeight="1">
      <c r="A28" s="27" t="s">
        <v>194</v>
      </c>
      <c r="B28" s="19" t="s">
        <v>250</v>
      </c>
      <c r="C28" s="19" t="s">
        <v>251</v>
      </c>
      <c r="D28" s="19" t="s">
        <v>211</v>
      </c>
    </row>
    <row r="29" ht="15.75" customHeight="1">
      <c r="A29" s="27" t="s">
        <v>195</v>
      </c>
      <c r="B29" s="19" t="s">
        <v>252</v>
      </c>
      <c r="C29" s="19" t="s">
        <v>253</v>
      </c>
      <c r="D29" s="19" t="s">
        <v>211</v>
      </c>
    </row>
    <row r="30" ht="15.75" customHeight="1">
      <c r="A30" s="27" t="s">
        <v>196</v>
      </c>
      <c r="B30" s="19" t="s">
        <v>254</v>
      </c>
      <c r="C30" s="19" t="s">
        <v>234</v>
      </c>
      <c r="D30" s="19" t="s">
        <v>211</v>
      </c>
    </row>
    <row r="31" ht="15.75" customHeight="1">
      <c r="A31" s="26" t="s">
        <v>255</v>
      </c>
      <c r="B31" s="5"/>
      <c r="C31" s="5"/>
      <c r="D31" s="3"/>
    </row>
    <row r="32" ht="15.75" customHeight="1">
      <c r="A32" s="27" t="s">
        <v>184</v>
      </c>
      <c r="B32" s="19" t="s">
        <v>256</v>
      </c>
      <c r="C32" s="19" t="s">
        <v>257</v>
      </c>
      <c r="D32" s="19" t="s">
        <v>218</v>
      </c>
    </row>
    <row r="33" ht="15.75" customHeight="1">
      <c r="A33" s="27" t="s">
        <v>185</v>
      </c>
      <c r="B33" s="19" t="s">
        <v>256</v>
      </c>
      <c r="C33" s="19" t="s">
        <v>257</v>
      </c>
      <c r="D33" s="19" t="s">
        <v>258</v>
      </c>
    </row>
    <row r="34" ht="15.75" customHeight="1">
      <c r="A34" s="27" t="s">
        <v>186</v>
      </c>
      <c r="B34" s="19" t="s">
        <v>259</v>
      </c>
      <c r="C34" s="19" t="s">
        <v>260</v>
      </c>
      <c r="D34" s="19" t="s">
        <v>220</v>
      </c>
    </row>
    <row r="35" ht="15.75" customHeight="1">
      <c r="A35" s="26" t="s">
        <v>261</v>
      </c>
      <c r="B35" s="5"/>
      <c r="C35" s="5"/>
      <c r="D35" s="3"/>
    </row>
    <row r="36" ht="15.75" customHeight="1">
      <c r="A36" s="27" t="s">
        <v>187</v>
      </c>
      <c r="B36" s="19" t="s">
        <v>262</v>
      </c>
      <c r="C36" s="19" t="s">
        <v>263</v>
      </c>
      <c r="D36" s="19" t="s">
        <v>264</v>
      </c>
    </row>
    <row r="37" ht="15.75" customHeight="1">
      <c r="A37" s="27" t="s">
        <v>188</v>
      </c>
      <c r="B37" s="19" t="s">
        <v>265</v>
      </c>
      <c r="C37" s="19" t="s">
        <v>263</v>
      </c>
      <c r="D37" s="19" t="s">
        <v>264</v>
      </c>
    </row>
    <row r="38" ht="15.75" customHeight="1">
      <c r="A38" s="27" t="s">
        <v>189</v>
      </c>
      <c r="B38" s="19" t="s">
        <v>266</v>
      </c>
      <c r="C38" s="19" t="s">
        <v>263</v>
      </c>
      <c r="D38" s="19" t="s">
        <v>264</v>
      </c>
    </row>
    <row r="39" ht="15.75" customHeight="1">
      <c r="A39" s="27" t="s">
        <v>192</v>
      </c>
      <c r="B39" s="19" t="s">
        <v>267</v>
      </c>
      <c r="C39" s="19" t="s">
        <v>268</v>
      </c>
      <c r="D39" s="19" t="s">
        <v>269</v>
      </c>
    </row>
    <row r="40" ht="15.75" customHeight="1">
      <c r="A40" s="27" t="s">
        <v>193</v>
      </c>
      <c r="B40" s="19" t="s">
        <v>270</v>
      </c>
      <c r="C40" s="19" t="s">
        <v>268</v>
      </c>
      <c r="D40" s="19" t="s">
        <v>269</v>
      </c>
    </row>
    <row r="41" ht="15.75" customHeight="1">
      <c r="A41" s="26" t="s">
        <v>271</v>
      </c>
      <c r="B41" s="5"/>
      <c r="C41" s="5"/>
      <c r="D41" s="3"/>
    </row>
    <row r="42" ht="15.75" customHeight="1">
      <c r="A42" s="27" t="s">
        <v>190</v>
      </c>
      <c r="B42" s="19" t="s">
        <v>272</v>
      </c>
      <c r="C42" s="19" t="s">
        <v>273</v>
      </c>
      <c r="D42" s="19" t="s">
        <v>274</v>
      </c>
    </row>
    <row r="43" ht="15.75" customHeight="1">
      <c r="A43" s="27" t="s">
        <v>191</v>
      </c>
      <c r="B43" s="19" t="s">
        <v>275</v>
      </c>
      <c r="C43" s="19" t="s">
        <v>276</v>
      </c>
      <c r="D43" s="19" t="s">
        <v>277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5:D25"/>
    <mergeCell ref="A31:D31"/>
    <mergeCell ref="A35:D35"/>
    <mergeCell ref="A41:D41"/>
    <mergeCell ref="A1:D1"/>
    <mergeCell ref="A3:D3"/>
    <mergeCell ref="A6:D6"/>
    <mergeCell ref="A9:D9"/>
    <mergeCell ref="A12:D12"/>
    <mergeCell ref="A16:D16"/>
    <mergeCell ref="A18:D1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2026-04-10T13:40:42Z</dcterms:created>
  <dc:creator>openpyxl</dc:creator>
</cp:coreProperties>
</file>